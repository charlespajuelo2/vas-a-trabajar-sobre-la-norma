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eba33009b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ADAS" sheetId="1" r:id="R46bbc233683c4678"/>
    <x:sheet xmlns:r="http://schemas.openxmlformats.org/officeDocument/2006/relationships" name="BARRAS" sheetId="2" r:id="Rd4a4d78d2c7945cd"/>
    <x:sheet xmlns:r="http://schemas.openxmlformats.org/officeDocument/2006/relationships" name="CALCULOS" sheetId="3" r:id="Rd941c3a324624e05"/>
    <x:sheet xmlns:r="http://schemas.openxmlformats.org/officeDocument/2006/relationships" name="VALIDACION" sheetId="4" r:id="R96bc3023655844e1"/>
    <x:sheet xmlns:r="http://schemas.openxmlformats.org/officeDocument/2006/relationships" name="FUENTES" sheetId="5" r:id="R7d2d5962fe174a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%"/>
    <x:numFmt numFmtId="202" formatCode="0"/>
    <x:numFmt numFmtId="203" formatCode="0.000"/>
  </x:numFmts>
  <x:fonts count="11">
    <x:font>
      <x:sz val="11"/>
      <x:name val="Carlito"/>
    </x:font>
    <x:font>
      <x:b/>
      <x:sz val="15"/>
      <x:color rgb="FFFFFFFF"/>
      <x:name val="Carlito"/>
    </x:font>
    <x:font>
      <x:i/>
      <x:sz val="10"/>
      <x:color rgb="FF666666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666666"/>
      <x:name val="Aptos"/>
    </x:font>
    <x:font>
      <x:b/>
      <x:sz val="10"/>
      <x:color rgb="FF17365D"/>
      <x:name val="Aptos"/>
    </x:font>
    <x:font>
      <x:sz val="10"/>
      <x:color rgb="FF7F6000"/>
      <x:name val="Aptos"/>
    </x:font>
    <x:font>
      <x:b/>
      <x:sz val="15"/>
      <x:color rgb="FFFFFFFF"/>
      <x:name val="Aptos Display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EE2E2"/>
      </x:patternFill>
    </x:fill>
    <x:fill>
      <x:patternFill patternType="solid">
        <x:fgColor rgb="FFEAF3F8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/>
    </x:xf>
    <x:xf numFmtId="200" fontId="9" fillId="5" borderId="1" xfId="0" applyNumberFormat="1" applyFont="1" applyFill="1" applyBorder="1" applyAlignment="1">
      <x:alignment vertical="center"/>
    </x:xf>
    <x:xf numFmtId="201" fontId="9" fillId="5" borderId="1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0" fontId="9" fillId="5" borderId="1" xfId="0" applyNumberFormat="1" applyFont="1" applyFill="1" applyBorder="1" applyAlignment="1">
      <x:alignment vertical="center" wrapText="1"/>
    </x:xf>
    <x:xf numFmtId="201" fontId="9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2" fontId="6" fillId="0" borderId="1" xfId="0" applyNumberFormat="1" applyFont="1" applyFill="1" applyBorder="1" applyAlignment="1">
      <x:alignment vertical="center" wrapText="1"/>
    </x:xf>
    <x:xf numFmtId="203" fontId="6" fillId="0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8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0" fontId="6" fillId="8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833a3948a8496c" /><Relationship Type="http://schemas.openxmlformats.org/officeDocument/2006/relationships/theme" Target="/xl/theme/theme1.xml" Id="R8ede23113b6d4f85" /><Relationship Type="http://schemas.openxmlformats.org/officeDocument/2006/relationships/sharedStrings" Target="/xl/sharedStrings.xml" Id="R9ba1c4c882b64192" /><Relationship Type="http://schemas.openxmlformats.org/officeDocument/2006/relationships/worksheet" Target="/xl/worksheets/sheet1.xml" Id="R46bbc233683c4678" /><Relationship Type="http://schemas.openxmlformats.org/officeDocument/2006/relationships/worksheet" Target="/xl/worksheets/sheet2.xml" Id="Rd4a4d78d2c7945cd" /><Relationship Type="http://schemas.openxmlformats.org/officeDocument/2006/relationships/worksheet" Target="/xl/worksheets/sheet3.xml" Id="Rd941c3a324624e05" /><Relationship Type="http://schemas.openxmlformats.org/officeDocument/2006/relationships/worksheet" Target="/xl/worksheets/sheet4.xml" Id="R96bc3023655844e1" /><Relationship Type="http://schemas.openxmlformats.org/officeDocument/2006/relationships/worksheet" Target="/xl/worksheets/sheet5.xml" Id="R7d2d5962fe174a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15" hidden="0" customWidth="1"/>
    <x:col min="3" max="3" width="11.25" hidden="0" customWidth="1"/>
    <x:col min="4" max="4" width="45" hidden="0" customWidth="1"/>
    <x:col min="7" max="7" width="6.880000114440918" hidden="0" customWidth="1"/>
    <x:col min="8" max="8" width="22.5" hidden="0" customWidth="1"/>
    <x:col min="9" max="9" width="9.380000114440918" hidden="0" customWidth="1"/>
    <x:col min="10" max="10" width="9.380000114440918" hidden="0" customWidth="1"/>
    <x:col min="11" max="11" width="9.380000114440918" hidden="0" customWidth="1"/>
    <x:col min="12" max="12" width="9.380000114440918" hidden="0" customWidth="1"/>
    <x:col min="13" max="13" width="9.380000114440918" hidden="0" customWidth="1"/>
    <x:col min="14" max="14" width="9.380000114440918" hidden="0" customWidth="1"/>
    <x:col min="15" max="15" width="9.380000114440918" hidden="0" customWidth="1"/>
    <x:col min="16" max="16" width="9.380000114440918" hidden="0" customWidth="1"/>
    <x:col min="17" max="17" width="9.380000114440918" hidden="0" customWidth="1"/>
    <x:col min="18" max="18" width="9.380000114440918" hidden="0" customWidth="1"/>
    <x:col min="19" max="19" width="9.380000114440918" hidden="0" customWidth="1"/>
    <x:col min="20" max="20" width="9.380000114440918" hidden="0" customWidth="1"/>
    <x:col min="21" max="21" width="9.380000114440918" hidden="0" customWidth="1"/>
    <x:col min="22" max="22" width="9.380000114440918" hidden="0" customWidth="1"/>
    <x:col min="23" max="23" width="9.380000114440918" hidden="0" customWidth="1"/>
    <x:col min="24" max="24" width="9.380000114440918" hidden="0" customWidth="1"/>
  </x:cols>
  <x:sheetData>
    <x:row r="1" ht="21" customHeight="1">
      <x:c r="A1" s="34" t="str">
        <x:v>E.060 — ACERO DE REFUERZO | ENTRADAS</x:v>
      </x:c>
      <x:c r="B1" s="34"/>
      <x:c r="C1" s="34"/>
      <x:c r="D1" s="34"/>
      <x:c r="E1" s="34"/>
      <x:c r="F1" s="34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25"/>
      <x:c r="Z1" s="25"/>
    </x:row>
    <x:row r="2">
      <x:c r="A2" s="26" t="str">
        <x:v>Solo las celdas amarillas son editables. Si un dato no está verificado en el PDF, déjalo vacío: las salidas mostrarán NO VERIFICADO.</x:v>
      </x:c>
      <x:c r="B2" s="26"/>
      <x:c r="C2" s="26"/>
      <x:c r="D2" s="26"/>
      <x:c r="E2" s="26"/>
      <x:c r="F2" s="2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25"/>
      <x:c r="Z2" s="2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25"/>
      <x:c r="Z3" s="25"/>
    </x:row>
    <x:row r="4">
      <x:c r="A4" s="27" t="str">
        <x:v>Parámetro editable</x:v>
      </x:c>
      <x:c r="B4" s="27" t="str">
        <x:v>Valor</x:v>
      </x:c>
      <x:c r="C4" s="27" t="str">
        <x:v>Unidad</x:v>
      </x:c>
      <x:c r="D4" s="27" t="str">
        <x:v>Uso / condición</x:v>
      </x:c>
      <x:c r="E4" s="36"/>
      <x:c r="F4" s="36"/>
      <x:c r="G4" s="28" t="str">
        <x:v>CASOS DE PRUEBA — entradas asumidas para comprobar las fórmulas (no son valores normativos del PDF)</x:v>
      </x:c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5"/>
      <x:c r="Z4" s="25"/>
    </x:row>
    <x:row r="5">
      <x:c r="A5" s="37" t="str">
        <x:v>f'c</x:v>
      </x:c>
      <x:c r="B5" s="38"/>
      <x:c r="C5" s="37" t="str">
        <x:v>MPa</x:v>
      </x:c>
      <x:c r="D5" s="37" t="str">
        <x:v>Resistencia especificada del concreto</x:v>
      </x:c>
      <x:c r="E5" s="36"/>
      <x:c r="F5" s="36"/>
      <x:c r="G5" s="27" t="str">
        <x:v>ID</x:v>
      </x:c>
      <x:c r="H5" s="27" t="str">
        <x:v>Caso</x:v>
      </x:c>
      <x:c r="I5" s="27" t="str">
        <x:v>f'c</x:v>
      </x:c>
      <x:c r="J5" s="27" t="str">
        <x:v>fy</x:v>
      </x:c>
      <x:c r="K5" s="27" t="str">
        <x:v>db</x:v>
      </x:c>
      <x:c r="L5" s="27" t="str">
        <x:v>Rango</x:v>
      </x:c>
      <x:c r="M5" s="27" t="str">
        <x:v>Recub.</x:v>
      </x:c>
      <x:c r="N5" s="27" t="str">
        <x:v>s c-c</x:v>
      </x:c>
      <x:c r="O5" s="27" t="str">
        <x:v>ψt</x:v>
      </x:c>
      <x:c r="P5" s="27" t="str">
        <x:v>ψe</x:v>
      </x:c>
      <x:c r="Q5" s="27" t="str">
        <x:v>ψs</x:v>
      </x:c>
      <x:c r="R5" s="27" t="str">
        <x:v>λ</x:v>
      </x:c>
      <x:c r="S5" s="27" t="str">
        <x:v>Ktr</x:v>
      </x:c>
      <x:c r="T5" s="27" t="str">
        <x:v>As req</x:v>
      </x:c>
      <x:c r="U5" s="27" t="str">
        <x:v>As prov</x:v>
      </x:c>
      <x:c r="V5" s="27" t="str">
        <x:v>% empalme</x:v>
      </x:c>
      <x:c r="W5" s="27" t="str">
        <x:v>ld base</x:v>
      </x:c>
      <x:c r="X5" s="27" t="str">
        <x:v>Esperado</x:v>
      </x:c>
      <x:c r="Y5" s="25"/>
      <x:c r="Z5" s="25"/>
    </x:row>
    <x:row r="6">
      <x:c r="A6" s="37" t="str">
        <x:v>fy</x:v>
      </x:c>
      <x:c r="B6" s="38"/>
      <x:c r="C6" s="37" t="str">
        <x:v>MPa</x:v>
      </x:c>
      <x:c r="D6" s="37" t="str">
        <x:v>Esfuerzo de fluencia del acero</x:v>
      </x:c>
      <x:c r="E6" s="36"/>
      <x:c r="F6" s="36"/>
      <x:c r="G6" s="37" t="str">
        <x:v>T1</x:v>
      </x:c>
      <x:c r="H6" s="37" t="str">
        <x:v>Gancho 180°</x:v>
      </x:c>
      <x:c r="I6" s="38" t="n">
        <x:v>21</x:v>
      </x:c>
      <x:c r="J6" s="38" t="n">
        <x:v>420</x:v>
      </x:c>
      <x:c r="K6" s="38" t="n">
        <x:v>16</x:v>
      </x:c>
      <x:c r="L6" s="38" t="str">
        <x:v>1/4–1</x:v>
      </x:c>
      <x:c r="M6" s="38" t="n">
        <x:v>40</x:v>
      </x:c>
      <x:c r="N6" s="38" t="n">
        <x:v>100</x:v>
      </x:c>
      <x:c r="O6" s="38" t="n">
        <x:v>1</x:v>
      </x:c>
      <x:c r="P6" s="38" t="n">
        <x:v>1</x:v>
      </x:c>
      <x:c r="Q6" s="38" t="n">
        <x:v>1</x:v>
      </x:c>
      <x:c r="R6" s="38" t="n">
        <x:v>1</x:v>
      </x:c>
      <x:c r="S6" s="38" t="n">
        <x:v>0</x:v>
      </x:c>
      <x:c r="T6" s="38" t="n">
        <x:v>100</x:v>
      </x:c>
      <x:c r="U6" s="38" t="n">
        <x:v>100</x:v>
      </x:c>
      <x:c r="V6" s="39" t="n">
        <x:v>0.5</x:v>
      </x:c>
      <x:c r="W6" s="38" t="n">
        <x:v>400</x:v>
      </x:c>
      <x:c r="X6" s="38" t="n">
        <x:v>65</x:v>
      </x:c>
      <x:c r="Y6" s="25"/>
      <x:c r="Z6" s="25"/>
    </x:row>
    <x:row r="7">
      <x:c r="A7" s="37" t="str">
        <x:v>Tipo de barra</x:v>
      </x:c>
      <x:c r="B7" s="38"/>
      <x:c r="C7" s="37" t="str">
        <x:v>texto</x:v>
      </x:c>
      <x:c r="D7" s="37" t="str">
        <x:v>longitudinal / estribo-grapa / sísmico</x:v>
      </x:c>
      <x:c r="E7" s="36"/>
      <x:c r="F7" s="36"/>
      <x:c r="G7" s="37" t="str">
        <x:v>T2</x:v>
      </x:c>
      <x:c r="H7" s="37" t="str">
        <x:v>Gancho 90° longitudinal</x:v>
      </x:c>
      <x:c r="I7" s="38" t="n">
        <x:v>21</x:v>
      </x:c>
      <x:c r="J7" s="38" t="n">
        <x:v>420</x:v>
      </x:c>
      <x:c r="K7" s="38" t="n">
        <x:v>16</x:v>
      </x:c>
      <x:c r="L7" s="38" t="str">
        <x:v>1/4–1</x:v>
      </x:c>
      <x:c r="M7" s="38" t="n">
        <x:v>40</x:v>
      </x:c>
      <x:c r="N7" s="38" t="n">
        <x:v>100</x:v>
      </x:c>
      <x:c r="O7" s="38" t="n">
        <x:v>1</x:v>
      </x:c>
      <x:c r="P7" s="38" t="n">
        <x:v>1</x:v>
      </x:c>
      <x:c r="Q7" s="38" t="n">
        <x:v>1</x:v>
      </x:c>
      <x:c r="R7" s="38" t="n">
        <x:v>1</x:v>
      </x:c>
      <x:c r="S7" s="38" t="n">
        <x:v>0</x:v>
      </x:c>
      <x:c r="T7" s="38" t="n">
        <x:v>100</x:v>
      </x:c>
      <x:c r="U7" s="38" t="n">
        <x:v>100</x:v>
      </x:c>
      <x:c r="V7" s="39" t="n">
        <x:v>0.5</x:v>
      </x:c>
      <x:c r="W7" s="38" t="n">
        <x:v>400</x:v>
      </x:c>
      <x:c r="X7" s="38" t="n">
        <x:v>192</x:v>
      </x:c>
      <x:c r="Y7" s="25"/>
      <x:c r="Z7" s="25"/>
    </x:row>
    <x:row r="8">
      <x:c r="A8" s="37" t="str">
        <x:v>Designación comercial</x:v>
      </x:c>
      <x:c r="B8" s="38"/>
      <x:c r="C8" s="37" t="str">
        <x:v>texto</x:v>
      </x:c>
      <x:c r="D8" s="37" t="str">
        <x:v>Ej.: 1/2"; la tabla comercial no aparece completa en el PDF</x:v>
      </x:c>
      <x:c r="E8" s="36"/>
      <x:c r="F8" s="36"/>
      <x:c r="G8" s="37" t="str">
        <x:v>T3</x:v>
      </x:c>
      <x:c r="H8" s="37" t="str">
        <x:v>Gancho 135° estribo</x:v>
      </x:c>
      <x:c r="I8" s="38" t="n">
        <x:v>21</x:v>
      </x:c>
      <x:c r="J8" s="38" t="n">
        <x:v>420</x:v>
      </x:c>
      <x:c r="K8" s="38" t="n">
        <x:v>10</x:v>
      </x:c>
      <x:c r="L8" s="38" t="str">
        <x:v>≤5/8</x:v>
      </x:c>
      <x:c r="M8" s="38" t="n">
        <x:v>40</x:v>
      </x:c>
      <x:c r="N8" s="38" t="n">
        <x:v>100</x:v>
      </x:c>
      <x:c r="O8" s="38" t="n">
        <x:v>1</x:v>
      </x:c>
      <x:c r="P8" s="38" t="n">
        <x:v>1</x:v>
      </x:c>
      <x:c r="Q8" s="38" t="n">
        <x:v>1</x:v>
      </x:c>
      <x:c r="R8" s="38" t="n">
        <x:v>1</x:v>
      </x:c>
      <x:c r="S8" s="38" t="n">
        <x:v>0</x:v>
      </x:c>
      <x:c r="T8" s="38" t="n">
        <x:v>100</x:v>
      </x:c>
      <x:c r="U8" s="38" t="n">
        <x:v>100</x:v>
      </x:c>
      <x:c r="V8" s="39" t="n">
        <x:v>0.5</x:v>
      </x:c>
      <x:c r="W8" s="38" t="n">
        <x:v>400</x:v>
      </x:c>
      <x:c r="X8" s="38" t="n">
        <x:v>60</x:v>
      </x:c>
      <x:c r="Y8" s="25"/>
      <x:c r="Z8" s="25"/>
    </x:row>
    <x:row r="9">
      <x:c r="A9" s="37" t="str">
        <x:v>db</x:v>
      </x:c>
      <x:c r="B9" s="38"/>
      <x:c r="C9" s="37" t="str">
        <x:v>mm</x:v>
      </x:c>
      <x:c r="D9" s="37" t="str">
        <x:v>Diámetro nominal verificado de la barra</x:v>
      </x:c>
      <x:c r="E9" s="36"/>
      <x:c r="F9" s="36"/>
      <x:c r="G9" s="37" t="str">
        <x:v>T4</x:v>
      </x:c>
      <x:c r="H9" s="37" t="str">
        <x:v>Doblado mínimo Tabla 7.1</x:v>
      </x:c>
      <x:c r="I9" s="38" t="n">
        <x:v>21</x:v>
      </x:c>
      <x:c r="J9" s="38" t="n">
        <x:v>420</x:v>
      </x:c>
      <x:c r="K9" s="38" t="n">
        <x:v>20</x:v>
      </x:c>
      <x:c r="L9" s="38" t="str">
        <x:v>1/4–1</x:v>
      </x:c>
      <x:c r="M9" s="38" t="n">
        <x:v>40</x:v>
      </x:c>
      <x:c r="N9" s="38" t="n">
        <x:v>100</x:v>
      </x:c>
      <x:c r="O9" s="38" t="n">
        <x:v>1</x:v>
      </x:c>
      <x:c r="P9" s="38" t="n">
        <x:v>1</x:v>
      </x:c>
      <x:c r="Q9" s="38" t="n">
        <x:v>1</x:v>
      </x:c>
      <x:c r="R9" s="38" t="n">
        <x:v>1</x:v>
      </x:c>
      <x:c r="S9" s="38" t="n">
        <x:v>0</x:v>
      </x:c>
      <x:c r="T9" s="38" t="n">
        <x:v>100</x:v>
      </x:c>
      <x:c r="U9" s="38" t="n">
        <x:v>100</x:v>
      </x:c>
      <x:c r="V9" s="39" t="n">
        <x:v>0.5</x:v>
      </x:c>
      <x:c r="W9" s="38" t="n">
        <x:v>400</x:v>
      </x:c>
      <x:c r="X9" s="38" t="n">
        <x:v>120</x:v>
      </x:c>
      <x:c r="Y9" s="25"/>
      <x:c r="Z9" s="25"/>
    </x:row>
    <x:row r="10">
      <x:c r="A10" s="37" t="str">
        <x:v>Recubrimiento claro</x:v>
      </x:c>
      <x:c r="B10" s="38"/>
      <x:c r="C10" s="37" t="str">
        <x:v>mm</x:v>
      </x:c>
      <x:c r="D10" s="37" t="str">
        <x:v>Para cb: distancia desde centro de barra a superficie = recubrimiento + db/2</x:v>
      </x:c>
      <x:c r="E10" s="36"/>
      <x:c r="F10" s="36"/>
      <x:c r="G10" s="37" t="str">
        <x:v>T5</x:v>
      </x:c>
      <x:c r="H10" s="37" t="str">
        <x:v>ld compresión</x:v>
      </x:c>
      <x:c r="I10" s="38" t="n">
        <x:v>21</x:v>
      </x:c>
      <x:c r="J10" s="38" t="n">
        <x:v>420</x:v>
      </x:c>
      <x:c r="K10" s="38" t="n">
        <x:v>16</x:v>
      </x:c>
      <x:c r="L10" s="38" t="str">
        <x:v>1/4–1</x:v>
      </x:c>
      <x:c r="M10" s="38" t="n">
        <x:v>40</x:v>
      </x:c>
      <x:c r="N10" s="38" t="n">
        <x:v>100</x:v>
      </x:c>
      <x:c r="O10" s="38" t="n">
        <x:v>1</x:v>
      </x:c>
      <x:c r="P10" s="38" t="n">
        <x:v>1</x:v>
      </x:c>
      <x:c r="Q10" s="38" t="n">
        <x:v>1</x:v>
      </x:c>
      <x:c r="R10" s="38" t="n">
        <x:v>1</x:v>
      </x:c>
      <x:c r="S10" s="38" t="n">
        <x:v>0</x:v>
      </x:c>
      <x:c r="T10" s="38" t="n">
        <x:v>100</x:v>
      </x:c>
      <x:c r="U10" s="38" t="n">
        <x:v>100</x:v>
      </x:c>
      <x:c r="V10" s="39" t="n">
        <x:v>0.5</x:v>
      </x:c>
      <x:c r="W10" s="38" t="n">
        <x:v>400</x:v>
      </x:c>
      <x:c r="X10" s="38" t="n">
        <x:v>351.94</x:v>
      </x:c>
      <x:c r="Y10" s="25"/>
      <x:c r="Z10" s="25"/>
    </x:row>
    <x:row r="11">
      <x:c r="A11" s="37" t="str">
        <x:v>Espaciamiento centro a centro</x:v>
      </x:c>
      <x:c r="B11" s="38"/>
      <x:c r="C11" s="37" t="str">
        <x:v>mm</x:v>
      </x:c>
      <x:c r="D11" s="37" t="str">
        <x:v>Para cb: se usa la mitad del espaciamiento</x:v>
      </x:c>
      <x:c r="E11" s="36"/>
      <x:c r="F11" s="36"/>
      <x:c r="G11" s="37" t="str">
        <x:v>T6</x:v>
      </x:c>
      <x:c r="H11" s="37" t="str">
        <x:v>Empalme tracción Clase A</x:v>
      </x:c>
      <x:c r="I11" s="38" t="n">
        <x:v>21</x:v>
      </x:c>
      <x:c r="J11" s="38" t="n">
        <x:v>420</x:v>
      </x:c>
      <x:c r="K11" s="38" t="n">
        <x:v>16</x:v>
      </x:c>
      <x:c r="L11" s="38" t="str">
        <x:v>1/4–1</x:v>
      </x:c>
      <x:c r="M11" s="38" t="n">
        <x:v>40</x:v>
      </x:c>
      <x:c r="N11" s="38" t="n">
        <x:v>100</x:v>
      </x:c>
      <x:c r="O11" s="38" t="n">
        <x:v>1</x:v>
      </x:c>
      <x:c r="P11" s="38" t="n">
        <x:v>1</x:v>
      </x:c>
      <x:c r="Q11" s="38" t="n">
        <x:v>1</x:v>
      </x:c>
      <x:c r="R11" s="38" t="n">
        <x:v>1</x:v>
      </x:c>
      <x:c r="S11" s="38" t="n">
        <x:v>0</x:v>
      </x:c>
      <x:c r="T11" s="38" t="n">
        <x:v>100</x:v>
      </x:c>
      <x:c r="U11" s="38" t="n">
        <x:v>250</x:v>
      </x:c>
      <x:c r="V11" s="39" t="n">
        <x:v>0.5</x:v>
      </x:c>
      <x:c r="W11" s="38" t="n">
        <x:v>400</x:v>
      </x:c>
      <x:c r="X11" s="38" t="n">
        <x:v>400</x:v>
      </x:c>
      <x:c r="Y11" s="25"/>
      <x:c r="Z11" s="25"/>
    </x:row>
    <x:row r="12">
      <x:c r="A12" s="37" t="str">
        <x:v>Condición de barra</x:v>
      </x:c>
      <x:c r="B12" s="38"/>
      <x:c r="C12" s="37" t="str">
        <x:v>texto</x:v>
      </x:c>
      <x:c r="D12" s="37" t="str">
        <x:v>sin recubrimiento epóxico / epóxica / barra superior</x:v>
      </x:c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25"/>
      <x:c r="Z12" s="25"/>
    </x:row>
    <x:row r="13">
      <x:c r="A13" s="37" t="str">
        <x:v>Ángulo de gancho</x:v>
      </x:c>
      <x:c r="B13" s="38"/>
      <x:c r="C13" s="37" t="str">
        <x:v>grados</x:v>
      </x:c>
      <x:c r="D13" s="37" t="str">
        <x:v>Referencia de detalle; no reemplaza el artículo aplicable</x:v>
      </x:c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25"/>
      <x:c r="Z13" s="25"/>
    </x:row>
    <x:row r="14">
      <x:c r="A14" s="37" t="str">
        <x:v>ψt</x:v>
      </x:c>
      <x:c r="B14" s="38"/>
      <x:c r="C14" s="37" t="str">
        <x:v>factor</x:v>
      </x:c>
      <x:c r="D14" s="37" t="str">
        <x:v>Factor de ubicación de barra en tracción</x:v>
      </x:c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25"/>
      <x:c r="Z14" s="25"/>
    </x:row>
    <x:row r="15">
      <x:c r="A15" s="37" t="str">
        <x:v>ψe</x:v>
      </x:c>
      <x:c r="B15" s="38"/>
      <x:c r="C15" s="37" t="str">
        <x:v>factor</x:v>
      </x:c>
      <x:c r="D15" s="37" t="str">
        <x:v>Factor por recubrimiento epóxico</x:v>
      </x:c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25"/>
      <x:c r="Z15" s="25"/>
    </x:row>
    <x:row r="16">
      <x:c r="A16" s="37" t="str">
        <x:v>ψs</x:v>
      </x:c>
      <x:c r="B16" s="38"/>
      <x:c r="C16" s="37" t="str">
        <x:v>factor</x:v>
      </x:c>
      <x:c r="D16" s="37" t="str">
        <x:v>Factor por diámetro de barra</x:v>
      </x:c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25"/>
      <x:c r="Z16" s="25"/>
    </x:row>
    <x:row r="17">
      <x:c r="A17" s="37" t="str">
        <x:v>λ</x:v>
      </x:c>
      <x:c r="B17" s="38"/>
      <x:c r="C17" s="37" t="str">
        <x:v>factor</x:v>
      </x:c>
      <x:c r="D17" s="37" t="str">
        <x:v>Factor por concreto liviano o normal</x:v>
      </x:c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25"/>
      <x:c r="Z17" s="25"/>
    </x:row>
    <x:row r="18">
      <x:c r="A18" s="37" t="str">
        <x:v>Ktr</x:v>
      </x:c>
      <x:c r="B18" s="38"/>
      <x:c r="C18" s="37" t="str">
        <x:v>mm</x:v>
      </x:c>
      <x:c r="D18" s="37" t="str">
        <x:v>Puede usarse 0 como simplificación permitida por 12.2.3</x:v>
      </x:c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25"/>
      <x:c r="Z18" s="25"/>
    </x:row>
    <x:row r="19">
      <x:c r="A19" s="37" t="str">
        <x:v>As requerida</x:v>
      </x:c>
      <x:c r="B19" s="38"/>
      <x:c r="C19" s="37" t="str">
        <x:v>mm²</x:v>
      </x:c>
      <x:c r="D19" s="37" t="str">
        <x:v>Para clasificación de empalme por tracción</x:v>
      </x:c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25"/>
      <x:c r="Z19" s="25"/>
    </x:row>
    <x:row r="20">
      <x:c r="A20" s="37" t="str">
        <x:v>As provista</x:v>
      </x:c>
      <x:c r="B20" s="38"/>
      <x:c r="C20" s="37" t="str">
        <x:v>mm²</x:v>
      </x:c>
      <x:c r="D20" s="37" t="str">
        <x:v>Para clasificación de empalme por tracción</x:v>
      </x:c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25"/>
      <x:c r="Z20" s="25"/>
    </x:row>
    <x:row r="21">
      <x:c r="A21" s="37" t="str">
        <x:v>Porcentaje de barras empalmadas</x:v>
      </x:c>
      <x:c r="B21" s="39"/>
      <x:c r="C21" s="37" t="str">
        <x:v>fracción</x:v>
      </x:c>
      <x:c r="D21" s="37" t="str">
        <x:v>Ej.: 0.50 significa 50 %</x:v>
      </x:c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25"/>
      <x:c r="Z21" s="25"/>
    </x:row>
    <x:row r="22">
      <x:c r="A22" s="37" t="str">
        <x:v>Factor de confinamiento en compresión</x:v>
      </x:c>
      <x:c r="B22" s="38"/>
      <x:c r="C22" s="37" t="str">
        <x:v>factor</x:v>
      </x:c>
      <x:c r="D22" s="37" t="str">
        <x:v>Use 1.00 si no aplica reducción; 0.83 ties; 0.75 spiral, según 12.17</x:v>
      </x:c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25"/>
      <x:c r="Z22" s="25"/>
    </x:row>
    <x:row r="23">
      <x:c r="A23" s="37" t="str">
        <x:v>Clase/rango para gancho y doblado</x:v>
      </x:c>
      <x:c r="B23" s="39"/>
      <x:c r="C23" s="37" t="str">
        <x:v>texto</x:v>
      </x:c>
      <x:c r="D23" s="37" t="str">
        <x:v>≤5/8; 3/4–1; 1/4–1; 1 1/8–1 3/8; 1 11/16–2 1/4</x:v>
      </x:c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25"/>
      <x:c r="Z23" s="25"/>
    </x:row>
    <x:row r="24">
      <x:c r="A24" s="37" t="str">
        <x:v>Notas del proyectista</x:v>
      </x:c>
      <x:c r="B24" s="38"/>
      <x:c r="C24" s="37" t="str">
        <x:v>texto</x:v>
      </x:c>
      <x:c r="D24" s="37" t="str">
        <x:v>Supuestos o datos pendientes de verificar</x:v>
      </x:c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25"/>
      <x:c r="Z24" s="25"/>
    </x:row>
    <x:row r="25">
      <x:c r="A25" s="37" t="str">
        <x:v>Coeficiente adicional ld tracción</x:v>
      </x:c>
      <x:c r="B25" s="38"/>
      <x:c r="C25" s="37" t="str">
        <x:v>factor</x:v>
      </x:c>
      <x:c r="D25" s="37" t="str">
        <x:v>Reservado si el proyectista dispone de un valor verificado; no completar por costumbre</x:v>
      </x:c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25"/>
      <x:c r="Z25" s="25"/>
    </x:row>
    <x:row r="26">
      <x:c r="A26" s="37" t="str">
        <x:v>Concreto</x:v>
      </x:c>
      <x:c r="B26" s="38"/>
      <x:c r="C26" s="37" t="str">
        <x:v>texto</x:v>
      </x:c>
      <x:c r="D26" s="37" t="str">
        <x:v>normal / liviano; se mantiene separado de λ para trazabilidad</x:v>
      </x:c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25"/>
      <x:c r="Z26" s="25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25"/>
      <x:c r="Z27" s="25"/>
    </x:row>
    <x:row r="28">
      <x:c r="A28" s="26" t="str">
        <x:v>Advertencia: los casos de prueba son ejemplos de control de fórmula y están marcados como ASUMIDOS. No deben usarse como sustituto de una verificación normativa del proyecto.</x:v>
      </x:c>
      <x:c r="B28" s="26"/>
      <x:c r="C28" s="26"/>
      <x:c r="D28" s="2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25"/>
      <x:c r="Z28" s="25"/>
    </x:row>
    <x:row r="29">
      <x:c r="A29" s="26"/>
      <x:c r="B29" s="26"/>
      <x:c r="C29" s="26"/>
      <x:c r="D29" s="2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25"/>
      <x:c r="Z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</x:sheetData>
  <x:mergeCells>
    <x:mergeCell ref="A1:F1"/>
    <x:mergeCell ref="A2:F2"/>
    <x:mergeCell ref="G4:X4"/>
    <x:mergeCell ref="A28:D29"/>
  </x:mergeCells>
  <x:dataValidations count="3">
    <x:dataValidation type="list" sqref="B7">
      <x:formula1>"longitudinal,estribo-grapa,sísmico"</x:formula1>
    </x:dataValidation>
    <x:dataValidation type="list" sqref="B13">
      <x:formula1>"sin epóxico,epóxica,barra superior"</x:formula1>
    </x:dataValidation>
    <x:dataValidation type="list" sqref="B25">
      <x:formula1>"≤5/8,3/4–1,1/4–1,1 1/8–1 3/8,1 11/16–2 1/4"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40" hidden="0" customWidth="1"/>
    <x:col min="6" max="6" width="16.25" hidden="0" customWidth="1"/>
  </x:cols>
  <x:sheetData>
    <x:row r="1" ht="21" customHeight="1">
      <x:c r="A1" s="32" t="str">
        <x:v>E.060 — BARRAS | db, ÁREA Y PERÍMETRO</x:v>
      </x:c>
      <x:c r="B1" s="32"/>
      <x:c r="C1" s="32"/>
      <x:c r="D1" s="32"/>
      <x:c r="E1" s="32"/>
      <x:c r="F1" s="32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26" t="str">
        <x:v>El PDF adjunto identifica rangos de pulgadas para doblado, pero no contiene una tabla comercial completa que convierta cada designación a db en mm. Por eso las columnas db/área/perímetro quedan NO VERIFICADO hasta ingresar una equivalencia respaldada.</x:v>
      </x:c>
      <x:c r="B2" s="26"/>
      <x:c r="C2" s="26"/>
      <x:c r="D2" s="26"/>
      <x:c r="E2" s="26"/>
      <x:c r="F2" s="26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27" t="str">
        <x:v>Diámetro comercial mencionado</x:v>
      </x:c>
      <x:c r="B4" s="27" t="str">
        <x:v>db (mm)</x:v>
      </x:c>
      <x:c r="C4" s="27" t="str">
        <x:v>Área (mm²)</x:v>
      </x:c>
      <x:c r="D4" s="27" t="str">
        <x:v>Perímetro (mm)</x:v>
      </x:c>
      <x:c r="E4" s="27" t="str">
        <x:v>Referencia normativa</x:v>
      </x:c>
      <x:c r="F4" s="27" t="str">
        <x:v>Estado</x:v>
      </x:c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21" customHeight="1">
      <x:c r="A5" s="29" t="str">
        <x:v>1/4"</x:v>
      </x:c>
      <x:c r="B5" s="48" t="str">
        <x:v>NO VERIFICADO</x:v>
      </x:c>
      <x:c r="C5" s="49" t="str">
        <x:f>IF(ISNUMBER(B5),PI()*B5*B5/'FUENTES'!$F$46,"NO VERIFICADO")</x:f>
        <x:v>NO VERIFICADO</x:v>
      </x:c>
      <x:c r="D5" s="49" t="str">
        <x:f>IF(ISNUMBER(B5),PI()*B5,"NO VERIFICADO")</x:f>
        <x:v>NO VERIFICADO</x:v>
      </x:c>
      <x:c r="E5" s="37" t="str">
        <x:v>Tabla 7.1, p. 47; definición de db en p. 6 (sin tabla comercial completa)</x:v>
      </x:c>
      <x:c r="F5" s="48" t="str">
        <x:v>NO VERIFICADO</x:v>
      </x:c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 ht="21" customHeight="1">
      <x:c r="A6" s="29" t="str">
        <x:v>5/8"</x:v>
      </x:c>
      <x:c r="B6" s="48" t="str">
        <x:v>NO VERIFICADO</x:v>
      </x:c>
      <x:c r="C6" s="49" t="str">
        <x:f>IF(ISNUMBER(B6),PI()*B6*B6/'FUENTES'!$F$46,"NO VERIFICADO")</x:f>
        <x:v>NO VERIFICADO</x:v>
      </x:c>
      <x:c r="D6" s="49" t="str">
        <x:f>IF(ISNUMBER(B6),PI()*B6,"NO VERIFICADO")</x:f>
        <x:v>NO VERIFICADO</x:v>
      </x:c>
      <x:c r="E6" s="37" t="str">
        <x:v>Tabla 7.1, p. 47; definición de db en p. 6 (sin tabla comercial completa)</x:v>
      </x:c>
      <x:c r="F6" s="48" t="str">
        <x:v>NO VERIFICADO</x:v>
      </x:c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 ht="21" customHeight="1">
      <x:c r="A7" s="29" t="str">
        <x:v>3/4"</x:v>
      </x:c>
      <x:c r="B7" s="48" t="str">
        <x:v>NO VERIFICADO</x:v>
      </x:c>
      <x:c r="C7" s="49" t="str">
        <x:f>IF(ISNUMBER(B7),PI()*B7*B7/'FUENTES'!$F$46,"NO VERIFICADO")</x:f>
        <x:v>NO VERIFICADO</x:v>
      </x:c>
      <x:c r="D7" s="49" t="str">
        <x:f>IF(ISNUMBER(B7),PI()*B7,"NO VERIFICADO")</x:f>
        <x:v>NO VERIFICADO</x:v>
      </x:c>
      <x:c r="E7" s="37" t="str">
        <x:v>Tabla 7.1, p. 47; definición de db en p. 6 (sin tabla comercial completa)</x:v>
      </x:c>
      <x:c r="F7" s="48" t="str">
        <x:v>NO VERIFICADO</x:v>
      </x:c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 ht="21" customHeight="1">
      <x:c r="A8" s="29" t="str">
        <x:v>1"</x:v>
      </x:c>
      <x:c r="B8" s="48" t="str">
        <x:v>NO VERIFICADO</x:v>
      </x:c>
      <x:c r="C8" s="49" t="str">
        <x:f>IF(ISNUMBER(B8),PI()*B8*B8/'FUENTES'!$F$46,"NO VERIFICADO")</x:f>
        <x:v>NO VERIFICADO</x:v>
      </x:c>
      <x:c r="D8" s="49" t="str">
        <x:f>IF(ISNUMBER(B8),PI()*B8,"NO VERIFICADO")</x:f>
        <x:v>NO VERIFICADO</x:v>
      </x:c>
      <x:c r="E8" s="37" t="str">
        <x:v>Tabla 7.1, p. 47; definición de db en p. 6 (sin tabla comercial completa)</x:v>
      </x:c>
      <x:c r="F8" s="48" t="str">
        <x:v>NO VERIFICADO</x:v>
      </x:c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 ht="21" customHeight="1">
      <x:c r="A9" s="29" t="str">
        <x:v>1 1/8"</x:v>
      </x:c>
      <x:c r="B9" s="48" t="str">
        <x:v>NO VERIFICADO</x:v>
      </x:c>
      <x:c r="C9" s="49" t="str">
        <x:f>IF(ISNUMBER(B9),PI()*B9*B9/'FUENTES'!$F$46,"NO VERIFICADO")</x:f>
        <x:v>NO VERIFICADO</x:v>
      </x:c>
      <x:c r="D9" s="49" t="str">
        <x:f>IF(ISNUMBER(B9),PI()*B9,"NO VERIFICADO")</x:f>
        <x:v>NO VERIFICADO</x:v>
      </x:c>
      <x:c r="E9" s="37" t="str">
        <x:v>Tabla 7.1, p. 47; definición de db en p. 6 (sin tabla comercial completa)</x:v>
      </x:c>
      <x:c r="F9" s="48" t="str">
        <x:v>NO VERIFICADO</x:v>
      </x:c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 ht="21" customHeight="1">
      <x:c r="A10" s="29" t="str">
        <x:v>1 3/8"</x:v>
      </x:c>
      <x:c r="B10" s="48" t="str">
        <x:v>NO VERIFICADO</x:v>
      </x:c>
      <x:c r="C10" s="49" t="str">
        <x:f>IF(ISNUMBER(B10),PI()*B10*B10/'FUENTES'!$F$46,"NO VERIFICADO")</x:f>
        <x:v>NO VERIFICADO</x:v>
      </x:c>
      <x:c r="D10" s="49" t="str">
        <x:f>IF(ISNUMBER(B10),PI()*B10,"NO VERIFICADO")</x:f>
        <x:v>NO VERIFICADO</x:v>
      </x:c>
      <x:c r="E10" s="37" t="str">
        <x:v>Tabla 7.1, p. 47; definición de db en p. 6 (sin tabla comercial completa)</x:v>
      </x:c>
      <x:c r="F10" s="48" t="str">
        <x:v>NO VERIFICADO</x:v>
      </x:c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 ht="21" customHeight="1">
      <x:c r="A11" s="29" t="str">
        <x:v>1 11/16"</x:v>
      </x:c>
      <x:c r="B11" s="48" t="str">
        <x:v>NO VERIFICADO</x:v>
      </x:c>
      <x:c r="C11" s="49" t="str">
        <x:f>IF(ISNUMBER(B11),PI()*B11*B11/'FUENTES'!$F$46,"NO VERIFICADO")</x:f>
        <x:v>NO VERIFICADO</x:v>
      </x:c>
      <x:c r="D11" s="49" t="str">
        <x:f>IF(ISNUMBER(B11),PI()*B11,"NO VERIFICADO")</x:f>
        <x:v>NO VERIFICADO</x:v>
      </x:c>
      <x:c r="E11" s="37" t="str">
        <x:v>Tabla 7.1, p. 47; definición de db en p. 6 (sin tabla comercial completa)</x:v>
      </x:c>
      <x:c r="F11" s="48" t="str">
        <x:v>NO VERIFICADO</x:v>
      </x:c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 ht="21" customHeight="1">
      <x:c r="A12" s="29" t="str">
        <x:v>2 1/4"</x:v>
      </x:c>
      <x:c r="B12" s="48" t="str">
        <x:v>NO VERIFICADO</x:v>
      </x:c>
      <x:c r="C12" s="49" t="str">
        <x:f>IF(ISNUMBER(B12),PI()*B12*B12/'FUENTES'!$F$46,"NO VERIFICADO")</x:f>
        <x:v>NO VERIFICADO</x:v>
      </x:c>
      <x:c r="D12" s="49" t="str">
        <x:f>IF(ISNUMBER(B12),PI()*B12,"NO VERIFICADO")</x:f>
        <x:v>NO VERIFICADO</x:v>
      </x:c>
      <x:c r="E12" s="37" t="str">
        <x:v>Tabla 7.1, p. 47; definición de db en p. 6 (sin tabla comercial completa)</x:v>
      </x:c>
      <x:c r="F12" s="48" t="str">
        <x:v>NO VERIFICADO</x:v>
      </x:c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26" t="str">
        <x:v>Nota de trazabilidad: no se inventan equivalencias mm ni áreas. Si el proyectista incorpora una tabla comercial oficial, ingrese db en ENTRADAS y mantenga la fuente en FUENTES.</x:v>
      </x:c>
      <x:c r="B14" s="26"/>
      <x:c r="C14" s="26"/>
      <x:c r="D14" s="26"/>
      <x:c r="E14" s="26"/>
      <x:c r="F14" s="26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26"/>
      <x:c r="B15" s="26"/>
      <x:c r="C15" s="26"/>
      <x:c r="D15" s="26"/>
      <x:c r="E15" s="26"/>
      <x:c r="F15" s="26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</x:sheetData>
  <x:mergeCells>
    <x:mergeCell ref="A1:F1"/>
    <x:mergeCell ref="A2:F2"/>
    <x:mergeCell ref="A14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.25" hidden="0" customWidth="1"/>
    <x:col min="2" max="2" width="16.25" hidden="0" customWidth="1"/>
    <x:col min="3" max="3" width="9.380000114440918" hidden="0" customWidth="1"/>
    <x:col min="4" max="4" width="14.380000114440918" hidden="0" customWidth="1"/>
    <x:col min="5" max="5" width="21.25" hidden="0" customWidth="1"/>
    <x:col min="6" max="6" width="40" hidden="0" customWidth="1"/>
  </x:cols>
  <x:sheetData>
    <x:row r="1" ht="21" customHeight="1">
      <x:c r="A1" s="32" t="str">
        <x:v>E.060 — CALCULOS | resultados formula-driven</x:v>
      </x:c>
      <x:c r="B1" s="32"/>
      <x:c r="C1" s="32"/>
      <x:c r="D1" s="32"/>
      <x:c r="E1" s="32"/>
      <x:c r="F1" s="32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26" t="str">
        <x:v>Todas las celdas de resultado son fórmulas. Las constantes se leen desde FUENTES y cada resultado incorpora referencias a ENTRADAS. Si falta cualquier dato, se muestra NO VERIFICADO.</x:v>
      </x:c>
      <x:c r="B2" s="26"/>
      <x:c r="C2" s="26"/>
      <x:c r="D2" s="26"/>
      <x:c r="E2" s="26"/>
      <x:c r="F2" s="26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27" t="str">
        <x:v>Concepto</x:v>
      </x:c>
      <x:c r="B4" s="27" t="str">
        <x:v>Valor o fórmula</x:v>
      </x:c>
      <x:c r="C4" s="27" t="str">
        <x:v>Unidad</x:v>
      </x:c>
      <x:c r="D4" s="27" t="str">
        <x:v>Capa</x:v>
      </x:c>
      <x:c r="E4" s="27" t="str">
        <x:v>Artículo / tabla</x:v>
      </x:c>
      <x:c r="F4" s="27" t="str">
        <x:v>Estado / dependencia</x:v>
      </x:c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21.75" customHeight="1">
      <x:c r="A5" s="29" t="str">
        <x:v>Extensión gancho estándar 180°</x:v>
      </x:c>
      <x:c r="B5" s="50" t="str">
        <x:f>IF(AND('ENTRADAS'!$B$8&lt;&gt;"",ISNUMBER('ENTRADAS'!$B$9)),MAX('ENTRADAS'!$B$9*'FUENTES'!$F$5,'FUENTES'!$F$6),"NO VERIFICADO")</x:f>
        <x:v>NO VERIFICADO</x:v>
      </x:c>
      <x:c r="C5" s="29" t="str">
        <x:v>mm</x:v>
      </x:c>
      <x:c r="D5" s="29" t="str">
        <x:f>IF('CALCULOS'!$B$5="NO VERIFICADO","NO VERIFICADO","DERIVADO")</x:f>
        <x:v>NO VERIFICADO</x:v>
      </x:c>
      <x:c r="E5" s="37" t="str">
        <x:v>7.1.1, p. 46</x:v>
      </x:c>
      <x:c r="F5" s="37" t="str">
        <x:v>depende de db; mínimo 65 mm</x:v>
      </x:c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 ht="21.75" customHeight="1">
      <x:c r="A6" s="29" t="str">
        <x:v>Extensión gancho estándar 90° longitudinal</x:v>
      </x:c>
      <x:c r="B6" s="50" t="str">
        <x:f>IF(AND('ENTRADAS'!$B$7="longitudinal",ISNUMBER('ENTRADAS'!$B$9)),'ENTRADAS'!$B$9*'FUENTES'!$F$7,"NO VERIFICADO")</x:f>
        <x:v>NO VERIFICADO</x:v>
      </x:c>
      <x:c r="C6" s="29" t="str">
        <x:v>mm</x:v>
      </x:c>
      <x:c r="D6" s="29" t="str">
        <x:f>IF('CALCULOS'!$B$6="NO VERIFICADO","NO VERIFICADO","DERIVADO")</x:f>
        <x:v>NO VERIFICADO</x:v>
      </x:c>
      <x:c r="E6" s="37" t="str">
        <x:v>7.1.2, p. 46</x:v>
      </x:c>
      <x:c r="F6" s="37" t="str">
        <x:v>depende de db</x:v>
      </x:c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 ht="21.75" customHeight="1">
      <x:c r="A7" s="29" t="str">
        <x:v>Extensión gancho 90° estribo/grapa ≤5/8"</x:v>
      </x:c>
      <x:c r="B7" s="50" t="str">
        <x:f>IF(AND('ENTRADAS'!$B$7="estribo-grapa",'ENTRADAS'!$B$23="≤5/8",ISNUMBER('ENTRADAS'!$B$9)),'ENTRADAS'!$B$9*'FUENTES'!$F$8,"NO VERIFICADO")</x:f>
        <x:v>NO VERIFICADO</x:v>
      </x:c>
      <x:c r="C7" s="29" t="str">
        <x:v>mm</x:v>
      </x:c>
      <x:c r="D7" s="29" t="str">
        <x:f>IF('CALCULOS'!$B$7="NO VERIFICADO","NO VERIFICADO","DERIVADO")</x:f>
        <x:v>NO VERIFICADO</x:v>
      </x:c>
      <x:c r="E7" s="37" t="str">
        <x:v>7.1.3(a), p. 46</x:v>
      </x:c>
      <x:c r="F7" s="37" t="str">
        <x:v>depende de tipo, rango y db</x:v>
      </x:c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 ht="21.75" customHeight="1">
      <x:c r="A8" s="29" t="str">
        <x:v>Extensión gancho 90° estribo/grapa 3/4–1"</x:v>
      </x:c>
      <x:c r="B8" s="50" t="str">
        <x:f>IF(AND('ENTRADAS'!$B$7="estribo-grapa",'ENTRADAS'!$B$23="3/4–1",ISNUMBER('ENTRADAS'!$B$9)),'ENTRADAS'!$B$9*'FUENTES'!$F$9,"NO VERIFICADO")</x:f>
        <x:v>NO VERIFICADO</x:v>
      </x:c>
      <x:c r="C8" s="29" t="str">
        <x:v>mm</x:v>
      </x:c>
      <x:c r="D8" s="29" t="str">
        <x:f>IF('CALCULOS'!$B$8="NO VERIFICADO","NO VERIFICADO","DERIVADO")</x:f>
        <x:v>NO VERIFICADO</x:v>
      </x:c>
      <x:c r="E8" s="37" t="str">
        <x:v>7.1.3(b), p. 46</x:v>
      </x:c>
      <x:c r="F8" s="37" t="str">
        <x:v>depende de tipo, rango y db</x:v>
      </x:c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 ht="21.75" customHeight="1">
      <x:c r="A9" s="29" t="str">
        <x:v>Extensión gancho 135° estribo/grapa</x:v>
      </x:c>
      <x:c r="B9" s="50" t="str">
        <x:f>IF(AND('ENTRADAS'!$B$7="estribo-grapa",'ENTRADAS'!$B$23="≤5/8",ISNUMBER('ENTRADAS'!$B$9)),'ENTRADAS'!$B$9*'FUENTES'!$F$10,"NO VERIFICADO")</x:f>
        <x:v>NO VERIFICADO</x:v>
      </x:c>
      <x:c r="C9" s="29" t="str">
        <x:v>mm</x:v>
      </x:c>
      <x:c r="D9" s="29" t="str">
        <x:f>IF('CALCULOS'!$B$9="NO VERIFICADO","NO VERIFICADO","DERIVADO")</x:f>
        <x:v>NO VERIFICADO</x:v>
      </x:c>
      <x:c r="E9" s="37" t="str">
        <x:v>7.1.3(c), p. 46</x:v>
      </x:c>
      <x:c r="F9" s="37" t="str">
        <x:v>depende de tipo, rango y db</x:v>
      </x:c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 ht="21.75" customHeight="1">
      <x:c r="A10" s="29" t="str">
        <x:v>Diámetro interior mínimo de doblado</x:v>
      </x:c>
      <x:c r="B10" s="50" t="str">
        <x:f>IF(AND(ISNUMBER('ENTRADAS'!$B$9),'ENTRADAS'!$B$23&lt;&gt;""),IF(AND('ENTRADAS'!$B$7="estribo-grapa",'ENTRADAS'!$B$23="≤5/8"),'ENTRADAS'!$B$9*'FUENTES'!$F$14,IF('ENTRADAS'!$B$23="1/4–1",'ENTRADAS'!$B$9*'FUENTES'!$F$11,IF('ENTRADAS'!$B$23="1 1/8–1 3/8",'ENTRADAS'!$B$9*'FUENTES'!$F$12,IF('ENTRADAS'!$B$23="1 11/16–2 1/4",'ENTRADAS'!$B$9*'FUENTES'!$F$13,"NO VERIFICADO")))),"NO VERIFICADO")</x:f>
        <x:v>NO VERIFICADO</x:v>
      </x:c>
      <x:c r="C10" s="29" t="str">
        <x:v>mm</x:v>
      </x:c>
      <x:c r="D10" s="29" t="str">
        <x:f>IF('CALCULOS'!$B$10="NO VERIFICADO","NO VERIFICADO","DERIVADO")</x:f>
        <x:v>NO VERIFICADO</x:v>
      </x:c>
      <x:c r="E10" s="37" t="str">
        <x:v>7.2.1 y Tabla 7.1, p. 47</x:v>
      </x:c>
      <x:c r="F10" s="37" t="str">
        <x:v>depende de rango comercial, tipo y db</x:v>
      </x:c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 ht="21.75" customHeight="1">
      <x:c r="A11" s="29" t="str">
        <x:v>ld en tracción</x:v>
      </x:c>
      <x:c r="B11" s="50" t="str">
        <x:f>IF(AND(ISNUMBER('ENTRADAS'!$B$5),ISNUMBER('ENTRADAS'!$B$6),ISNUMBER('ENTRADAS'!$B$9),ISNUMBER('ENTRADAS'!$B$10),ISNUMBER('ENTRADAS'!$B$11),ISNUMBER('ENTRADAS'!$B$14),ISNUMBER('ENTRADAS'!$B$15),ISNUMBER('ENTRADAS'!$B$16),ISNUMBER('ENTRADAS'!$B$17),ISNUMBER('ENTRADAS'!$B$18)),MAX('FUENTES'!$F$15,('ENTRADAS'!$B$6*MIN('FUENTES'!$F$49,'ENTRADAS'!$B$14*'ENTRADAS'!$B$15)*'ENTRADAS'!$B$16*'ENTRADAS'!$B$9)/('FUENTES'!$F$30*'ENTRADAS'!$B$17*SQRT('ENTRADAS'!$B$5)*MIN('FUENTES'!$F$31,(MIN('ENTRADAS'!$B$10+'ENTRADAS'!$B$9/'FUENTES'!$F$47,'ENTRADAS'!$B$11/'FUENTES'!$F$47)+'ENTRADAS'!$B$18)/'ENTRADAS'!$B$9))),"NO VERIFICADO")</x:f>
        <x:v>NO VERIFICADO</x:v>
      </x:c>
      <x:c r="C11" s="29" t="str">
        <x:v>mm</x:v>
      </x:c>
      <x:c r="D11" s="29" t="str">
        <x:f>IF('CALCULOS'!$B$11="NO VERIFICADO","NO VERIFICADO","DERIVADO")</x:f>
        <x:v>NO VERIFICADO</x:v>
      </x:c>
      <x:c r="E11" s="37" t="str">
        <x:v>12.2.1–12.2.3, pp. 114–115</x:v>
      </x:c>
      <x:c r="F11" s="37" t="str">
        <x:v>depende de f'c, fy, db, cb, Ktr, ψt, ψe, ψs y λ</x:v>
      </x:c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 ht="21.75" customHeight="1">
      <x:c r="A12" s="29" t="str">
        <x:v>ld en compresión</x:v>
      </x:c>
      <x:c r="B12" s="50" t="str">
        <x:f>IF(AND(ISNUMBER('ENTRADAS'!$B$5),ISNUMBER('ENTRADAS'!$B$6),ISNUMBER('ENTRADAS'!$B$9)),MAX('FUENTES'!$F$16,MAX('FUENTES'!$F$19*'ENTRADAS'!$B$6/SQRT('ENTRADAS'!$B$5)*'ENTRADAS'!$B$9,'FUENTES'!$F$20*'ENTRADAS'!$B$6*'ENTRADAS'!$B$9)),"NO VERIFICADO")</x:f>
        <x:v>NO VERIFICADO</x:v>
      </x:c>
      <x:c r="C12" s="29" t="str">
        <x:v>mm</x:v>
      </x:c>
      <x:c r="D12" s="29" t="str">
        <x:f>IF('CALCULOS'!$B$12="NO VERIFICADO","NO VERIFICADO","DERIVADO")</x:f>
        <x:v>NO VERIFICADO</x:v>
      </x:c>
      <x:c r="E12" s="37" t="str">
        <x:v>12.3.1–12.3.2, p. 117</x:v>
      </x:c>
      <x:c r="F12" s="37" t="str">
        <x:v>depende de f'c, fy y db</x:v>
      </x:c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 ht="21.75" customHeight="1">
      <x:c r="A13" s="29" t="str">
        <x:v>ldg de gancho en tracción</x:v>
      </x:c>
      <x:c r="B13" s="50" t="str">
        <x:f>IF(AND(ISNUMBER('ENTRADAS'!$B$5),ISNUMBER('ENTRADAS'!$B$6),ISNUMBER('ENTRADAS'!$B$9),ISNUMBER('ENTRADAS'!$B$15),ISNUMBER('ENTRADAS'!$B$17)),MAX(MIN('FUENTES'!$F$17*'ENTRADAS'!$B$9,'FUENTES'!$F$18),'FUENTES'!$F$32*'ENTRADAS'!$B$15*'ENTRADAS'!$B$17*'ENTRADAS'!$B$6/SQRT('ENTRADAS'!$B$5)*'ENTRADAS'!$B$9),"NO VERIFICADO")</x:f>
        <x:v>NO VERIFICADO</x:v>
      </x:c>
      <x:c r="C13" s="29" t="str">
        <x:v>mm</x:v>
      </x:c>
      <x:c r="D13" s="29" t="str">
        <x:f>IF('CALCULOS'!$B$13="NO VERIFICADO","NO VERIFICADO","DERIVADO")</x:f>
        <x:v>NO VERIFICADO</x:v>
      </x:c>
      <x:c r="E13" s="37" t="str">
        <x:v>12.5.1–12.5.2, p. 117</x:v>
      </x:c>
      <x:c r="F13" s="37" t="str">
        <x:v>depende de f'c, fy, db, ψe y λ; sujeto a condiciones de 12.5.3</x:v>
      </x:c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 ht="21.75" customHeight="1">
      <x:c r="A14" s="29" t="str">
        <x:v>Empalme por traslape en tracción</x:v>
      </x:c>
      <x:c r="B14" s="50" t="str">
        <x:f>IF(AND(ISNUMBER('CALCULOS'!$B$11),ISNUMBER('ENTRADAS'!$B$19),ISNUMBER('ENTRADAS'!$B$20),ISNUMBER('ENTRADAS'!$B$21)),MAX('FUENTES'!$F$27,IF(AND('ENTRADAS'!$B$20/'ENTRADAS'!$B$19&gt;='FUENTES'!$F$40,'ENTRADAS'!$B$21&lt;='FUENTES'!$F$41),'FUENTES'!$F$25*'CALCULOS'!$B$11,'FUENTES'!$F$26*'CALCULOS'!$B$11)),"NO VERIFICADO")</x:f>
        <x:v>NO VERIFICADO</x:v>
      </x:c>
      <x:c r="C14" s="29" t="str">
        <x:v>mm</x:v>
      </x:c>
      <x:c r="D14" s="29" t="str">
        <x:f>IF('CALCULOS'!$B$14="NO VERIFICADO","NO VERIFICADO","DERIVADO")</x:f>
        <x:v>NO VERIFICADO</x:v>
      </x:c>
      <x:c r="E14" s="37" t="str">
        <x:v>12.15.1 y Tabla 12.3, pp. 123–124</x:v>
      </x:c>
      <x:c r="F14" s="37" t="str">
        <x:v>depende de ld, As prov/As req y porcentaje empalmado</x:v>
      </x:c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 ht="21.75" customHeight="1">
      <x:c r="A15" s="29" t="str">
        <x:v>Empalme por traslape en compresión</x:v>
      </x:c>
      <x:c r="B15" s="50" t="str">
        <x:f>IF(AND(ISNUMBER('ENTRADAS'!$B$5),ISNUMBER('ENTRADAS'!$B$6),ISNUMBER('ENTRADAS'!$B$9)),MAX('FUENTES'!$F$27,IF('ENTRADAS'!$B$6&lt;='FUENTES'!$F$42,'FUENTES'!$F$21*'ENTRADAS'!$B$6*'ENTRADAS'!$B$9,('FUENTES'!$F$22*'ENTRADAS'!$B$6-'FUENTES'!$F$23)*'ENTRADAS'!$B$9)*IF('ENTRADAS'!$B$5&lt;'FUENTES'!$F$43,'FUENTES'!$F$24,'FUENTES'!$F$44)),"NO VERIFICADO")</x:f>
        <x:v>NO VERIFICADO</x:v>
      </x:c>
      <x:c r="C15" s="29" t="str">
        <x:v>mm</x:v>
      </x:c>
      <x:c r="D15" s="29" t="str">
        <x:f>IF('CALCULOS'!$B$15="NO VERIFICADO","NO VERIFICADO","DERIVADO")</x:f>
        <x:v>NO VERIFICADO</x:v>
      </x:c>
      <x:c r="E15" s="37" t="str">
        <x:v>12.16.1, pp. 124–125</x:v>
      </x:c>
      <x:c r="F15" s="37" t="str">
        <x:v>depende de f'c, fy, db y límite mínimo</x:v>
      </x:c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 ht="21.75" customHeight="1">
      <x:c r="A16" s="29" t="str">
        <x:v>Empalme de columna con confinamiento</x:v>
      </x:c>
      <x:c r="B16" s="50" t="str">
        <x:f>IF(AND(ISNUMBER('CALCULOS'!$B$15),ISNUMBER('ENTRADAS'!$B$22)),'CALCULOS'!$B$15*'ENTRADAS'!$B$22,"NO VERIFICADO")</x:f>
        <x:v>NO VERIFICADO</x:v>
      </x:c>
      <x:c r="C16" s="29" t="str">
        <x:v>mm</x:v>
      </x:c>
      <x:c r="D16" s="29" t="str">
        <x:f>IF('CALCULOS'!$B$16="NO VERIFICADO","NO VERIFICADO","DERIVADO")</x:f>
        <x:v>NO VERIFICADO</x:v>
      </x:c>
      <x:c r="E16" s="37" t="str">
        <x:v>12.17.2, p. 125</x:v>
      </x:c>
      <x:c r="F16" s="37" t="str">
        <x:v>depende de empalme en compresión y factor de confinamiento</x:v>
      </x:c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26" t="str">
        <x:v>Nota sobre ld tracción: la ecuación 12-1 exige cb y Ktr. cb se deriva aquí como el menor entre (recubrimiento + db/2) y (espaciamiento/2); si el espaciamiento no es centro a centro, no use el resultado sin revisar.</x:v>
      </x:c>
      <x:c r="B18" s="26"/>
      <x:c r="C18" s="26"/>
      <x:c r="D18" s="26"/>
      <x:c r="E18" s="26"/>
      <x:c r="F18" s="26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26"/>
      <x:c r="B19" s="26"/>
      <x:c r="C19" s="26"/>
      <x:c r="D19" s="26"/>
      <x:c r="E19" s="26"/>
      <x:c r="F19" s="26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</x:sheetData>
  <x:mergeCells>
    <x:mergeCell ref="A1:F1"/>
    <x:mergeCell ref="A2:F2"/>
    <x:mergeCell ref="A18:F19"/>
  </x:mergeCells>
  <x:conditionalFormatting sqref="D5:D16">
    <x:cfRule type="containsText" dxfId="0" priority="1" operator="containsText" text="NORMATIVO"/>
    <x:cfRule type="containsText" dxfId="1" priority="2" operator="containsText" text="DERIVADO"/>
    <x:cfRule type="containsText" dxfId="2" priority="3" operator="containsText" text="NO VERIFICADO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15" hidden="0" customWidth="1"/>
    <x:col min="3" max="3" width="15" hidden="0" customWidth="1"/>
    <x:col min="4" max="4" width="15" hidden="0" customWidth="1"/>
    <x:col min="5" max="5" width="13.75" hidden="0" customWidth="1"/>
    <x:col min="6" max="6" width="26.25" hidden="0" customWidth="1"/>
  </x:cols>
  <x:sheetData>
    <x:row r="1" ht="21" customHeight="1">
      <x:c r="A1" s="32" t="str">
        <x:v>E.060 — VALIDACION | casos de prueba</x:v>
      </x:c>
      <x:c r="B1" s="32"/>
      <x:c r="C1" s="32"/>
      <x:c r="D1" s="32"/>
      <x:c r="E1" s="32"/>
      <x:c r="F1" s="32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26" t="str">
        <x:v>Los seis casos usan entradas ASUMIDAS en ENTRADAS. La comparación es automática; un caso OK solo confirma consistencia aritmética de la fórmula, no sustituye la revisión normativa del proyecto.</x:v>
      </x:c>
      <x:c r="B2" s="26"/>
      <x:c r="C2" s="26"/>
      <x:c r="D2" s="26"/>
      <x:c r="E2" s="26"/>
      <x:c r="F2" s="26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27" t="str">
        <x:v>ID / caso</x:v>
      </x:c>
      <x:c r="B4" s="27" t="str">
        <x:v>Resultado calculado</x:v>
      </x:c>
      <x:c r="C4" s="27" t="str">
        <x:v>Esperado</x:v>
      </x:c>
      <x:c r="D4" s="27" t="str">
        <x:v>Diferencia</x:v>
      </x:c>
      <x:c r="E4" s="27" t="str">
        <x:v>Estado</x:v>
      </x:c>
      <x:c r="F4" s="27" t="str">
        <x:v>Referencia</x:v>
      </x:c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29" t="str">
        <x:f>'ENTRADAS'!$G$6&amp;" — "&amp;'ENTRADAS'!$H$6</x:f>
        <x:v>T1 — Gancho 180°</x:v>
      </x:c>
      <x:c r="B5" s="49" t="n">
        <x:f>MAX('ENTRADAS'!$K$6*'FUENTES'!$F$5,'FUENTES'!$F$6)</x:f>
        <x:v>65</x:v>
      </x:c>
      <x:c r="C5" s="49" t="n">
        <x:f>'ENTRADAS'!$X$6</x:f>
        <x:v>65</x:v>
      </x:c>
      <x:c r="D5" s="49" t="n">
        <x:f>ABS('VALIDACION'!$B$5-'VALIDACION'!$C$5)</x:f>
        <x:v>0</x:v>
      </x:c>
      <x:c r="E5" s="29" t="str">
        <x:f>IF('VALIDACION'!$D$5&lt;='FUENTES'!$F$48,"OK","REVISAR")</x:f>
        <x:v>OK</x:v>
      </x:c>
      <x:c r="F5" s="29" t="str">
        <x:v>7.1.1, p. 46</x:v>
      </x:c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29" t="str">
        <x:f>'ENTRADAS'!$G$7&amp;" — "&amp;'ENTRADAS'!$H$7</x:f>
        <x:v>T2 — Gancho 90° longitudinal</x:v>
      </x:c>
      <x:c r="B6" s="49" t="n">
        <x:f>'ENTRADAS'!$K$7*'FUENTES'!$F$7</x:f>
        <x:v>192</x:v>
      </x:c>
      <x:c r="C6" s="49" t="n">
        <x:f>'ENTRADAS'!$X$7</x:f>
        <x:v>192</x:v>
      </x:c>
      <x:c r="D6" s="49" t="n">
        <x:f>ABS('VALIDACION'!$B$6-'VALIDACION'!$C$6)</x:f>
        <x:v>0</x:v>
      </x:c>
      <x:c r="E6" s="29" t="str">
        <x:f>IF('VALIDACION'!$D$6&lt;='FUENTES'!$F$48,"OK","REVISAR")</x:f>
        <x:v>OK</x:v>
      </x:c>
      <x:c r="F6" s="29" t="str">
        <x:v>7.1.2, p. 46</x:v>
      </x:c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29" t="str">
        <x:f>'ENTRADAS'!$G$8&amp;" — "&amp;'ENTRADAS'!$H$8</x:f>
        <x:v>T3 — Gancho 135° estribo</x:v>
      </x:c>
      <x:c r="B7" s="49" t="n">
        <x:f>'ENTRADAS'!$K$8*'FUENTES'!$F$10</x:f>
        <x:v>60</x:v>
      </x:c>
      <x:c r="C7" s="49" t="n">
        <x:f>'ENTRADAS'!$X$8</x:f>
        <x:v>60</x:v>
      </x:c>
      <x:c r="D7" s="49" t="n">
        <x:f>ABS('VALIDACION'!$B$7-'VALIDACION'!$C$7)</x:f>
        <x:v>0</x:v>
      </x:c>
      <x:c r="E7" s="29" t="str">
        <x:f>IF('VALIDACION'!$D$7&lt;='FUENTES'!$F$48,"OK","REVISAR")</x:f>
        <x:v>OK</x:v>
      </x:c>
      <x:c r="F7" s="29" t="str">
        <x:v>7.1.3(c), p. 46</x:v>
      </x:c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29" t="str">
        <x:f>'ENTRADAS'!$G$9&amp;" — "&amp;'ENTRADAS'!$H$9</x:f>
        <x:v>T4 — Doblado mínimo Tabla 7.1</x:v>
      </x:c>
      <x:c r="B8" s="49" t="n">
        <x:f>'ENTRADAS'!$K$9*'FUENTES'!$F$11</x:f>
        <x:v>120</x:v>
      </x:c>
      <x:c r="C8" s="49" t="n">
        <x:f>'ENTRADAS'!$X$9</x:f>
        <x:v>120</x:v>
      </x:c>
      <x:c r="D8" s="49" t="n">
        <x:f>ABS('VALIDACION'!$B$8-'VALIDACION'!$C$8)</x:f>
        <x:v>0</x:v>
      </x:c>
      <x:c r="E8" s="29" t="str">
        <x:f>IF('VALIDACION'!$D$8&lt;='FUENTES'!$F$48,"OK","REVISAR")</x:f>
        <x:v>OK</x:v>
      </x:c>
      <x:c r="F8" s="29" t="str">
        <x:v>Tabla 7.1, p. 47</x:v>
      </x:c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29" t="str">
        <x:f>'ENTRADAS'!$G$10&amp;" — "&amp;'ENTRADAS'!$H$10</x:f>
        <x:v>T5 — ld compresión</x:v>
      </x:c>
      <x:c r="B9" s="49" t="n">
        <x:f>MAX('FUENTES'!$F$16,MAX('FUENTES'!$F$19*'ENTRADAS'!$J$10/SQRT('ENTRADAS'!$I$10)*'ENTRADAS'!$K$10,'FUENTES'!$F$20*'ENTRADAS'!$J$10*'ENTRADAS'!$K$10))</x:f>
        <x:v>351.9418133726085</x:v>
      </x:c>
      <x:c r="C9" s="49" t="n">
        <x:f>'ENTRADAS'!$X$10</x:f>
        <x:v>351.94</x:v>
      </x:c>
      <x:c r="D9" s="49" t="n">
        <x:f>ABS('VALIDACION'!$B$9-'VALIDACION'!$C$9)</x:f>
        <x:v>0.0018133726085238777</x:v>
      </x:c>
      <x:c r="E9" s="29" t="str">
        <x:f>IF('VALIDACION'!$D$9&lt;='FUENTES'!$F$48,"OK","REVISAR")</x:f>
        <x:v>OK</x:v>
      </x:c>
      <x:c r="F9" s="29" t="str">
        <x:v>12.3.2, p. 117</x:v>
      </x:c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29" t="str">
        <x:f>'ENTRADAS'!$G$11&amp;" — "&amp;'ENTRADAS'!$H$11</x:f>
        <x:v>T6 — Empalme tracción Clase A</x:v>
      </x:c>
      <x:c r="B10" s="49" t="n">
        <x:f>MAX('FUENTES'!$F$27,IF(AND('ENTRADAS'!$U$11/'ENTRADAS'!$T$11&gt;='FUENTES'!$F$40,'ENTRADAS'!$V$11&lt;='FUENTES'!$F$41),'FUENTES'!$F$25*'ENTRADAS'!$W$11,'FUENTES'!$F$26*'ENTRADAS'!$W$11))</x:f>
        <x:v>400</x:v>
      </x:c>
      <x:c r="C10" s="49" t="n">
        <x:f>'ENTRADAS'!$X$11</x:f>
        <x:v>400</x:v>
      </x:c>
      <x:c r="D10" s="49" t="n">
        <x:f>ABS('VALIDACION'!$B$10-'VALIDACION'!$C$10)</x:f>
        <x:v>0</x:v>
      </x:c>
      <x:c r="E10" s="29" t="str">
        <x:f>IF('VALIDACION'!$D$10&lt;='FUENTES'!$F$48,"OK","REVISAR")</x:f>
        <x:v>OK</x:v>
      </x:c>
      <x:c r="F10" s="29" t="str">
        <x:v>12.15.1 y Tabla 12.3, pp. 123–124</x:v>
      </x:c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26" t="str">
        <x:v>Interpretación: los valores esperados están almacenados en ENTRADAS para que los ensayos sean reproducibles y editables. Los casos no constituyen ejemplos normativos del proyecto.</x:v>
      </x:c>
      <x:c r="B12" s="26"/>
      <x:c r="C12" s="26"/>
      <x:c r="D12" s="26"/>
      <x:c r="E12" s="26"/>
      <x:c r="F12" s="26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26"/>
      <x:c r="B13" s="26"/>
      <x:c r="C13" s="26"/>
      <x:c r="D13" s="26"/>
      <x:c r="E13" s="26"/>
      <x:c r="F13" s="26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</x:sheetData>
  <x:mergeCells>
    <x:mergeCell ref="A1:F1"/>
    <x:mergeCell ref="A2:F2"/>
    <x:mergeCell ref="A12:F13"/>
  </x:mergeCells>
  <x:conditionalFormatting sqref="E5:E10">
    <x:cfRule type="containsText" dxfId="3" priority="1" operator="containsText" text="OK"/>
    <x:cfRule type="containsText" dxfId="4" priority="2" operator="containsText" text="REVISAR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11.25" hidden="0" customWidth="1"/>
    <x:col min="3" max="3" width="18.75" hidden="0" customWidth="1"/>
    <x:col min="4" max="4" width="8.75" hidden="0" customWidth="1"/>
    <x:col min="5" max="5" width="14.380000114440918" hidden="0" customWidth="1"/>
    <x:col min="6" max="6" width="11.25" hidden="0" customWidth="1"/>
    <x:col min="7" max="7" width="11.25" hidden="0" customWidth="1"/>
    <x:col min="8" max="8" width="38.75" hidden="0" customWidth="1"/>
  </x:cols>
  <x:sheetData>
    <x:row r="1" ht="21" customHeight="1">
      <x:c r="A1" s="32" t="str">
        <x:v>E.060 — FUENTES Y PARÁMETROS NORMATIVOS</x:v>
      </x:c>
      <x:c r="B1" s="32"/>
      <x:c r="C1" s="32"/>
      <x:c r="D1" s="32"/>
      <x:c r="E1" s="32"/>
      <x:c r="F1" s="32"/>
      <x:c r="G1" s="32"/>
      <x:c r="H1" s="32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26" t="str">
        <x:v>Valores numéricos provienen del PDF adjunto. Cuando el PDF no ofrece una tabla comercial db completa, se conserva NO VERIFICADO.</x:v>
      </x:c>
      <x:c r="B2" s="26"/>
      <x:c r="C2" s="26"/>
      <x:c r="D2" s="26"/>
      <x:c r="E2" s="26"/>
      <x:c r="F2" s="26"/>
      <x:c r="G2" s="26"/>
      <x:c r="H2" s="26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27" t="str">
        <x:v>dato</x:v>
      </x:c>
      <x:c r="B4" s="27" t="str">
        <x:v>capa</x:v>
      </x:c>
      <x:c r="C4" s="27" t="str">
        <x:v>artículo o tabla</x:v>
      </x:c>
      <x:c r="D4" s="27" t="str">
        <x:v>página</x:v>
      </x:c>
      <x:c r="E4" s="27" t="str">
        <x:v>estado</x:v>
      </x:c>
      <x:c r="F4" s="27" t="str">
        <x:v>valor</x:v>
      </x:c>
      <x:c r="G4" s="27" t="str">
        <x:v>unidad</x:v>
      </x:c>
      <x:c r="H4" s="27" t="str">
        <x:v>nota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37" t="str">
        <x:v>k_ext_180</x:v>
      </x:c>
      <x:c r="B5" s="37" t="str">
        <x:v>NORMATIVO</x:v>
      </x:c>
      <x:c r="C5" s="37" t="str">
        <x:v>7.1.1</x:v>
      </x:c>
      <x:c r="D5" s="41" t="n">
        <x:v>46</x:v>
      </x:c>
      <x:c r="E5" s="37" t="str">
        <x:v>VERIFICADO</x:v>
      </x:c>
      <x:c r="F5" s="42" t="n">
        <x:v>4</x:v>
      </x:c>
      <x:c r="G5" s="37" t="str">
        <x:v>db</x:v>
      </x:c>
      <x:c r="H5" s="37" t="str">
        <x:v>Extensión recta de gancho estándar 180°: 4 db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37" t="str">
        <x:v>min_ext_180</x:v>
      </x:c>
      <x:c r="B6" s="37" t="str">
        <x:v>NORMATIVO</x:v>
      </x:c>
      <x:c r="C6" s="37" t="str">
        <x:v>7.1.1</x:v>
      </x:c>
      <x:c r="D6" s="41" t="n">
        <x:v>46</x:v>
      </x:c>
      <x:c r="E6" s="37" t="str">
        <x:v>VERIFICADO</x:v>
      </x:c>
      <x:c r="F6" s="42" t="n">
        <x:v>65</x:v>
      </x:c>
      <x:c r="G6" s="37" t="str">
        <x:v>mm</x:v>
      </x:c>
      <x:c r="H6" s="37" t="str">
        <x:v>No menor de 65 mm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37" t="str">
        <x:v>k_ext_90_long</x:v>
      </x:c>
      <x:c r="B7" s="37" t="str">
        <x:v>NORMATIVO</x:v>
      </x:c>
      <x:c r="C7" s="37" t="str">
        <x:v>7.1.2</x:v>
      </x:c>
      <x:c r="D7" s="41" t="n">
        <x:v>46</x:v>
      </x:c>
      <x:c r="E7" s="37" t="str">
        <x:v>VERIFICADO</x:v>
      </x:c>
      <x:c r="F7" s="42" t="n">
        <x:v>12</x:v>
      </x:c>
      <x:c r="G7" s="37" t="str">
        <x:v>db</x:v>
      </x:c>
      <x:c r="H7" s="37" t="str">
        <x:v>Extensión de gancho estándar 90°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37" t="str">
        <x:v>k_ext_90_stirrup_small</x:v>
      </x:c>
      <x:c r="B8" s="37" t="str">
        <x:v>NORMATIVO</x:v>
      </x:c>
      <x:c r="C8" s="37" t="str">
        <x:v>7.1.3(a)</x:v>
      </x:c>
      <x:c r="D8" s="41" t="n">
        <x:v>46</x:v>
      </x:c>
      <x:c r="E8" s="37" t="str">
        <x:v>VERIFICADO</x:v>
      </x:c>
      <x:c r="F8" s="42" t="n">
        <x:v>6</x:v>
      </x:c>
      <x:c r="G8" s="37" t="str">
        <x:v>db</x:v>
      </x:c>
      <x:c r="H8" s="37" t="str">
        <x:v>Estribos/grapas: barras 5/8 in o menores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37" t="str">
        <x:v>k_ext_90_stirrup_large</x:v>
      </x:c>
      <x:c r="B9" s="37" t="str">
        <x:v>NORMATIVO</x:v>
      </x:c>
      <x:c r="C9" s="37" t="str">
        <x:v>7.1.3(b)</x:v>
      </x:c>
      <x:c r="D9" s="41" t="n">
        <x:v>46</x:v>
      </x:c>
      <x:c r="E9" s="37" t="str">
        <x:v>VERIFICADO</x:v>
      </x:c>
      <x:c r="F9" s="42" t="n">
        <x:v>12</x:v>
      </x:c>
      <x:c r="G9" s="37" t="str">
        <x:v>db</x:v>
      </x:c>
      <x:c r="H9" s="37" t="str">
        <x:v>Estribos/grapas: 3/4 in a 1 in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37" t="str">
        <x:v>k_ext_135</x:v>
      </x:c>
      <x:c r="B10" s="37" t="str">
        <x:v>NORMATIVO</x:v>
      </x:c>
      <x:c r="C10" s="37" t="str">
        <x:v>7.1.3(c)</x:v>
      </x:c>
      <x:c r="D10" s="41" t="n">
        <x:v>46</x:v>
      </x:c>
      <x:c r="E10" s="37" t="str">
        <x:v>VERIFICADO</x:v>
      </x:c>
      <x:c r="F10" s="42" t="n">
        <x:v>6</x:v>
      </x:c>
      <x:c r="G10" s="37" t="str">
        <x:v>db</x:v>
      </x:c>
      <x:c r="H10" s="37" t="str">
        <x:v>Estribos/grapas: 135° para barras 1 in o menores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37" t="str">
        <x:v>k_bend_1_4_1</x:v>
      </x:c>
      <x:c r="B11" s="37" t="str">
        <x:v>NORMATIVO</x:v>
      </x:c>
      <x:c r="C11" s="37" t="str">
        <x:v>Tabla 7.1</x:v>
      </x:c>
      <x:c r="D11" s="41" t="n">
        <x:v>47</x:v>
      </x:c>
      <x:c r="E11" s="37" t="str">
        <x:v>VERIFICADO</x:v>
      </x:c>
      <x:c r="F11" s="42" t="n">
        <x:v>6</x:v>
      </x:c>
      <x:c r="G11" s="37" t="str">
        <x:v>db</x:v>
      </x:c>
      <x:c r="H11" s="37" t="str">
        <x:v>Diámetro interior mínimo: 1/4 in a 1 in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37" t="str">
        <x:v>k_bend_1_1_8_1_3_8</x:v>
      </x:c>
      <x:c r="B12" s="37" t="str">
        <x:v>NORMATIVO</x:v>
      </x:c>
      <x:c r="C12" s="37" t="str">
        <x:v>Tabla 7.1</x:v>
      </x:c>
      <x:c r="D12" s="41" t="n">
        <x:v>47</x:v>
      </x:c>
      <x:c r="E12" s="37" t="str">
        <x:v>VERIFICADO</x:v>
      </x:c>
      <x:c r="F12" s="42" t="n">
        <x:v>8</x:v>
      </x:c>
      <x:c r="G12" s="37" t="str">
        <x:v>db</x:v>
      </x:c>
      <x:c r="H12" s="37" t="str">
        <x:v>Diámetro interior mínimo: 1 1/8 in a 1 3/8 in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37" t="str">
        <x:v>k_bend_1_11_16_2_1_4</x:v>
      </x:c>
      <x:c r="B13" s="37" t="str">
        <x:v>NORMATIVO</x:v>
      </x:c>
      <x:c r="C13" s="37" t="str">
        <x:v>Tabla 7.1</x:v>
      </x:c>
      <x:c r="D13" s="41" t="n">
        <x:v>47</x:v>
      </x:c>
      <x:c r="E13" s="37" t="str">
        <x:v>VERIFICADO</x:v>
      </x:c>
      <x:c r="F13" s="42" t="n">
        <x:v>10</x:v>
      </x:c>
      <x:c r="G13" s="37" t="str">
        <x:v>db</x:v>
      </x:c>
      <x:c r="H13" s="37" t="str">
        <x:v>Diámetro interior mínimo: 1 11/16 in a 2 1/4 in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37" t="str">
        <x:v>k_bend_stirrup_small</x:v>
      </x:c>
      <x:c r="B14" s="37" t="str">
        <x:v>NORMATIVO</x:v>
      </x:c>
      <x:c r="C14" s="37" t="str">
        <x:v>7.2.2</x:v>
      </x:c>
      <x:c r="D14" s="41" t="n">
        <x:v>47</x:v>
      </x:c>
      <x:c r="E14" s="37" t="str">
        <x:v>VERIFICADO</x:v>
      </x:c>
      <x:c r="F14" s="42" t="n">
        <x:v>4</x:v>
      </x:c>
      <x:c r="G14" s="37" t="str">
        <x:v>db</x:v>
      </x:c>
      <x:c r="H14" s="37" t="str">
        <x:v>Estribos: barras 5/8 in o menores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37" t="str">
        <x:v>ld_tension_min</x:v>
      </x:c>
      <x:c r="B15" s="37" t="str">
        <x:v>NORMATIVO</x:v>
      </x:c>
      <x:c r="C15" s="37" t="str">
        <x:v>12.2.1</x:v>
      </x:c>
      <x:c r="D15" s="41" t="n">
        <x:v>114</x:v>
      </x:c>
      <x:c r="E15" s="37" t="str">
        <x:v>VERIFICADO</x:v>
      </x:c>
      <x:c r="F15" s="42" t="n">
        <x:v>300</x:v>
      </x:c>
      <x:c r="G15" s="37" t="str">
        <x:v>mm</x:v>
      </x:c>
      <x:c r="H15" s="37" t="str">
        <x:v>Longitud de desarrollo en tracción no menor a 300 mm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37" t="str">
        <x:v>ld_compression_min</x:v>
      </x:c>
      <x:c r="B16" s="37" t="str">
        <x:v>NORMATIVO</x:v>
      </x:c>
      <x:c r="C16" s="37" t="str">
        <x:v>12.3.1</x:v>
      </x:c>
      <x:c r="D16" s="41" t="n">
        <x:v>117</x:v>
      </x:c>
      <x:c r="E16" s="37" t="str">
        <x:v>VERIFICADO</x:v>
      </x:c>
      <x:c r="F16" s="42" t="n">
        <x:v>200</x:v>
      </x:c>
      <x:c r="G16" s="37" t="str">
        <x:v>mm</x:v>
      </x:c>
      <x:c r="H16" s="37" t="str">
        <x:v>Longitud de desarrollo en compresión no menor a 200 mm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37" t="str">
        <x:v>ld_hook_min_db</x:v>
      </x:c>
      <x:c r="B17" s="37" t="str">
        <x:v>NORMATIVO</x:v>
      </x:c>
      <x:c r="C17" s="37" t="str">
        <x:v>12.5.1</x:v>
      </x:c>
      <x:c r="D17" s="41" t="n">
        <x:v>117</x:v>
      </x:c>
      <x:c r="E17" s="37" t="str">
        <x:v>VERIFICADO</x:v>
      </x:c>
      <x:c r="F17" s="42" t="n">
        <x:v>8</x:v>
      </x:c>
      <x:c r="G17" s="37" t="str">
        <x:v>db</x:v>
      </x:c>
      <x:c r="H17" s="37" t="str">
        <x:v>Gancho en tracción: mínimo el menor de 8 db y 150 mm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37" t="str">
        <x:v>ld_hook_min_mm</x:v>
      </x:c>
      <x:c r="B18" s="37" t="str">
        <x:v>NORMATIVO</x:v>
      </x:c>
      <x:c r="C18" s="37" t="str">
        <x:v>12.5.1</x:v>
      </x:c>
      <x:c r="D18" s="41" t="n">
        <x:v>117</x:v>
      </x:c>
      <x:c r="E18" s="37" t="str">
        <x:v>VERIFICADO</x:v>
      </x:c>
      <x:c r="F18" s="42" t="n">
        <x:v>150</x:v>
      </x:c>
      <x:c r="G18" s="37" t="str">
        <x:v>mm</x:v>
      </x:c>
      <x:c r="H18" s="37" t="str">
        <x:v>Gancho en tracción: mínimo el menor de 8 db y 150 mm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37" t="str">
        <x:v>ld_compression_coef_a</x:v>
      </x:c>
      <x:c r="B19" s="37" t="str">
        <x:v>NORMATIVO</x:v>
      </x:c>
      <x:c r="C19" s="37" t="str">
        <x:v>12.3.2</x:v>
      </x:c>
      <x:c r="D19" s="41" t="n">
        <x:v>117</x:v>
      </x:c>
      <x:c r="E19" s="37" t="str">
        <x:v>VERIFICADO</x:v>
      </x:c>
      <x:c r="F19" s="42" t="n">
        <x:v>0.24</x:v>
      </x:c>
      <x:c r="G19" s="37" t="str">
        <x:v>—</x:v>
      </x:c>
      <x:c r="H19" s="37" t="str">
        <x:v>Primer término de la expresión de ldc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37" t="str">
        <x:v>ld_compression_coef_b</x:v>
      </x:c>
      <x:c r="B20" s="37" t="str">
        <x:v>NORMATIVO</x:v>
      </x:c>
      <x:c r="C20" s="37" t="str">
        <x:v>12.3.2</x:v>
      </x:c>
      <x:c r="D20" s="41" t="n">
        <x:v>117</x:v>
      </x:c>
      <x:c r="E20" s="37" t="str">
        <x:v>VERIFICADO</x:v>
      </x:c>
      <x:c r="F20" s="42" t="n">
        <x:v>0.043</x:v>
      </x:c>
      <x:c r="G20" s="37" t="str">
        <x:v>—</x:v>
      </x:c>
      <x:c r="H20" s="37" t="str">
        <x:v>Segundo término de la expresión de ldc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37" t="str">
        <x:v>lap_compression_coef_le_420</x:v>
      </x:c>
      <x:c r="B21" s="37" t="str">
        <x:v>NORMATIVO</x:v>
      </x:c>
      <x:c r="C21" s="37" t="str">
        <x:v>12.16.1</x:v>
      </x:c>
      <x:c r="D21" s="41" t="n">
        <x:v>124</x:v>
      </x:c>
      <x:c r="E21" s="37" t="str">
        <x:v>VERIFICADO</x:v>
      </x:c>
      <x:c r="F21" s="42" t="n">
        <x:v>0.071</x:v>
      </x:c>
      <x:c r="G21" s="37" t="str">
        <x:v>—</x:v>
      </x:c>
      <x:c r="H21" s="37" t="str">
        <x:v>Para fy ≤ 420 MPa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37" t="str">
        <x:v>lap_compression_coef_gt_420</x:v>
      </x:c>
      <x:c r="B22" s="37" t="str">
        <x:v>NORMATIVO</x:v>
      </x:c>
      <x:c r="C22" s="37" t="str">
        <x:v>12.16.1</x:v>
      </x:c>
      <x:c r="D22" s="41" t="n">
        <x:v>124</x:v>
      </x:c>
      <x:c r="E22" s="37" t="str">
        <x:v>VERIFICADO</x:v>
      </x:c>
      <x:c r="F22" s="42" t="n">
        <x:v>0.13</x:v>
      </x:c>
      <x:c r="G22" s="37" t="str">
        <x:v>—</x:v>
      </x:c>
      <x:c r="H22" s="37" t="str">
        <x:v>Para fy &gt; 420 MPa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37" t="str">
        <x:v>lap_compression_subtract</x:v>
      </x:c>
      <x:c r="B23" s="37" t="str">
        <x:v>NORMATIVO</x:v>
      </x:c>
      <x:c r="C23" s="37" t="str">
        <x:v>12.16.1</x:v>
      </x:c>
      <x:c r="D23" s="41" t="n">
        <x:v>124</x:v>
      </x:c>
      <x:c r="E23" s="37" t="str">
        <x:v>VERIFICADO</x:v>
      </x:c>
      <x:c r="F23" s="42" t="n">
        <x:v>24</x:v>
      </x:c>
      <x:c r="G23" s="37" t="str">
        <x:v>MPa</x:v>
      </x:c>
      <x:c r="H23" s="37" t="str">
        <x:v>Término de la expresión para fy &gt; 420 MPa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37" t="str">
        <x:v>lap_compression_fc_factor</x:v>
      </x:c>
      <x:c r="B24" s="37" t="str">
        <x:v>NORMATIVO</x:v>
      </x:c>
      <x:c r="C24" s="37" t="str">
        <x:v>12.16.1</x:v>
      </x:c>
      <x:c r="D24" s="41" t="n">
        <x:v>125</x:v>
      </x:c>
      <x:c r="E24" s="37" t="str">
        <x:v>VERIFICADO</x:v>
      </x:c>
      <x:c r="F24" s="42" t="n">
        <x:v>1.3</x:v>
      </x:c>
      <x:c r="G24" s="37" t="str">
        <x:v>factor</x:v>
      </x:c>
      <x:c r="H24" s="37" t="str">
        <x:v>Para f'c &lt; 21 MPa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37" t="str">
        <x:v>lap_tension_class_A_factor</x:v>
      </x:c>
      <x:c r="B25" s="37" t="str">
        <x:v>NORMATIVO</x:v>
      </x:c>
      <x:c r="C25" s="37" t="str">
        <x:v>12.15.1</x:v>
      </x:c>
      <x:c r="D25" s="41" t="n">
        <x:v>123</x:v>
      </x:c>
      <x:c r="E25" s="37" t="str">
        <x:v>VERIFICADO</x:v>
      </x:c>
      <x:c r="F25" s="42" t="n">
        <x:v>1</x:v>
      </x:c>
      <x:c r="G25" s="37" t="str">
        <x:v>ld</x:v>
      </x:c>
      <x:c r="H25" s="37" t="str">
        <x:v>Clase A: 1.0 ld; mínimo 300 mm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37" t="str">
        <x:v>lap_tension_class_B_factor</x:v>
      </x:c>
      <x:c r="B26" s="37" t="str">
        <x:v>NORMATIVO</x:v>
      </x:c>
      <x:c r="C26" s="37" t="str">
        <x:v>12.15.1</x:v>
      </x:c>
      <x:c r="D26" s="41" t="n">
        <x:v>123</x:v>
      </x:c>
      <x:c r="E26" s="37" t="str">
        <x:v>VERIFICADO</x:v>
      </x:c>
      <x:c r="F26" s="42" t="n">
        <x:v>1.3</x:v>
      </x:c>
      <x:c r="G26" s="37" t="str">
        <x:v>ld</x:v>
      </x:c>
      <x:c r="H26" s="37" t="str">
        <x:v>Clase B: 1.3 ld; mínimo 300 mm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37" t="str">
        <x:v>lap_min</x:v>
      </x:c>
      <x:c r="B27" s="37" t="str">
        <x:v>NORMATIVO</x:v>
      </x:c>
      <x:c r="C27" s="37" t="str">
        <x:v>12.15.1</x:v>
      </x:c>
      <x:c r="D27" s="41" t="n">
        <x:v>123</x:v>
      </x:c>
      <x:c r="E27" s="37" t="str">
        <x:v>VERIFICADO</x:v>
      </x:c>
      <x:c r="F27" s="42" t="n">
        <x:v>300</x:v>
      </x:c>
      <x:c r="G27" s="37" t="str">
        <x:v>mm</x:v>
      </x:c>
      <x:c r="H27" s="37" t="str">
        <x:v>Empalme por traslape en tracción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37" t="str">
        <x:v>lap_column_tie_factor</x:v>
      </x:c>
      <x:c r="B28" s="37" t="str">
        <x:v>NORMATIVO</x:v>
      </x:c>
      <x:c r="C28" s="37" t="str">
        <x:v>12.17.2</x:v>
      </x:c>
      <x:c r="D28" s="41" t="n">
        <x:v>125</x:v>
      </x:c>
      <x:c r="E28" s="37" t="str">
        <x:v>VERIFICADO</x:v>
      </x:c>
      <x:c r="F28" s="42" t="n">
        <x:v>0.83</x:v>
      </x:c>
      <x:c r="G28" s="37" t="str">
        <x:v>factor</x:v>
      </x:c>
      <x:c r="H28" s="37" t="str">
        <x:v>Reducción con estribos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37" t="str">
        <x:v>lap_column_spiral_factor</x:v>
      </x:c>
      <x:c r="B29" s="37" t="str">
        <x:v>NORMATIVO</x:v>
      </x:c>
      <x:c r="C29" s="37" t="str">
        <x:v>12.17.2</x:v>
      </x:c>
      <x:c r="D29" s="41" t="n">
        <x:v>125</x:v>
      </x:c>
      <x:c r="E29" s="37" t="str">
        <x:v>VERIFICADO</x:v>
      </x:c>
      <x:c r="F29" s="42" t="n">
        <x:v>0.75</x:v>
      </x:c>
      <x:c r="G29" s="37" t="str">
        <x:v>factor</x:v>
      </x:c>
      <x:c r="H29" s="37" t="str">
        <x:v>Reducción con espiral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37" t="str">
        <x:v>tension_formula_coef</x:v>
      </x:c>
      <x:c r="B30" s="37" t="str">
        <x:v>NORMATIVO</x:v>
      </x:c>
      <x:c r="C30" s="37" t="str">
        <x:v>12.2.3, Ec. 12-1</x:v>
      </x:c>
      <x:c r="D30" s="41" t="n">
        <x:v>115</x:v>
      </x:c>
      <x:c r="E30" s="37" t="str">
        <x:v>VERIFICADO</x:v>
      </x:c>
      <x:c r="F30" s="42" t="n">
        <x:v>1.1</x:v>
      </x:c>
      <x:c r="G30" s="37" t="str">
        <x:v>—</x:v>
      </x:c>
      <x:c r="H30" s="37" t="str">
        <x:v>Coeficiente visible en la ecuación del PDF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37" t="str">
        <x:v>tension_den_cap</x:v>
      </x:c>
      <x:c r="B31" s="37" t="str">
        <x:v>NORMATIVO</x:v>
      </x:c>
      <x:c r="C31" s="37" t="str">
        <x:v>12.2.3</x:v>
      </x:c>
      <x:c r="D31" s="41" t="n">
        <x:v>115</x:v>
      </x:c>
      <x:c r="E31" s="37" t="str">
        <x:v>VERIFICADO</x:v>
      </x:c>
      <x:c r="F31" s="42" t="n">
        <x:v>2.5</x:v>
      </x:c>
      <x:c r="G31" s="37" t="str">
        <x:v>—</x:v>
      </x:c>
      <x:c r="H31" s="37" t="str">
        <x:v>(cb + Ktr)/db no mayor a 2.5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37" t="str">
        <x:v>hook_ld_coef</x:v>
      </x:c>
      <x:c r="B32" s="37" t="str">
        <x:v>NORMATIVO</x:v>
      </x:c>
      <x:c r="C32" s="37" t="str">
        <x:v>12.5.2</x:v>
      </x:c>
      <x:c r="D32" s="41" t="n">
        <x:v>117</x:v>
      </x:c>
      <x:c r="E32" s="37" t="str">
        <x:v>VERIFICADO</x:v>
      </x:c>
      <x:c r="F32" s="42" t="n">
        <x:v>0.24</x:v>
      </x:c>
      <x:c r="G32" s="37" t="str">
        <x:v>—</x:v>
      </x:c>
      <x:c r="H32" s="37" t="str">
        <x:v>Expresión de ldg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37" t="str">
        <x:v>hook_epoxy_factor</x:v>
      </x:c>
      <x:c r="B33" s="37" t="str">
        <x:v>NORMATIVO</x:v>
      </x:c>
      <x:c r="C33" s="37" t="str">
        <x:v>12.5.2</x:v>
      </x:c>
      <x:c r="D33" s="41" t="n">
        <x:v>117</x:v>
      </x:c>
      <x:c r="E33" s="37" t="str">
        <x:v>VERIFICADO</x:v>
      </x:c>
      <x:c r="F33" s="42" t="n">
        <x:v>1.2</x:v>
      </x:c>
      <x:c r="G33" s="37" t="str">
        <x:v>factor</x:v>
      </x:c>
      <x:c r="H33" s="37" t="str">
        <x:v>ψe = 1.2 para barras epóxicas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37" t="str">
        <x:v>hook_lightweight_factor</x:v>
      </x:c>
      <x:c r="B34" s="37" t="str">
        <x:v>NORMATIVO</x:v>
      </x:c>
      <x:c r="C34" s="37" t="str">
        <x:v>12.5.2</x:v>
      </x:c>
      <x:c r="D34" s="41" t="n">
        <x:v>117</x:v>
      </x:c>
      <x:c r="E34" s="37" t="str">
        <x:v>VERIFICADO</x:v>
      </x:c>
      <x:c r="F34" s="42" t="n">
        <x:v>1.3</x:v>
      </x:c>
      <x:c r="G34" s="37" t="str">
        <x:v>factor</x:v>
      </x:c>
      <x:c r="H34" s="37" t="str">
        <x:v>λ = 1.3 para concreto liviano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37" t="str">
        <x:v>hook_cover_factor</x:v>
      </x:c>
      <x:c r="B35" s="37" t="str">
        <x:v>NORMATIVO</x:v>
      </x:c>
      <x:c r="C35" s="37" t="str">
        <x:v>12.5.3</x:v>
      </x:c>
      <x:c r="D35" s="41" t="n">
        <x:v>118</x:v>
      </x:c>
      <x:c r="E35" s="37" t="str">
        <x:v>VERIFICADO</x:v>
      </x:c>
      <x:c r="F35" s="42" t="n">
        <x:v>0.7</x:v>
      </x:c>
      <x:c r="G35" s="37" t="str">
        <x:v>factor</x:v>
      </x:c>
      <x:c r="H35" s="37" t="str">
        <x:v>Reducción por condiciones de recubrimiento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37" t="str">
        <x:v>hook_confined_factor</x:v>
      </x:c>
      <x:c r="B36" s="37" t="str">
        <x:v>NORMATIVO</x:v>
      </x:c>
      <x:c r="C36" s="37" t="str">
        <x:v>12.5.3</x:v>
      </x:c>
      <x:c r="D36" s="41" t="n">
        <x:v>118</x:v>
      </x:c>
      <x:c r="E36" s="37" t="str">
        <x:v>VERIFICADO</x:v>
      </x:c>
      <x:c r="F36" s="42" t="n">
        <x:v>0.8</x:v>
      </x:c>
      <x:c r="G36" s="37" t="str">
        <x:v>factor</x:v>
      </x:c>
      <x:c r="H36" s="37" t="str">
        <x:v>Reducción por confinamiento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37" t="str">
        <x:v>hook_first_stirrup_distance</x:v>
      </x:c>
      <x:c r="B37" s="37" t="str">
        <x:v>NORMATIVO</x:v>
      </x:c>
      <x:c r="C37" s="37" t="str">
        <x:v>12.5.3</x:v>
      </x:c>
      <x:c r="D37" s="41" t="n">
        <x:v>118</x:v>
      </x:c>
      <x:c r="E37" s="37" t="str">
        <x:v>VERIFICADO</x:v>
      </x:c>
      <x:c r="F37" s="42" t="n">
        <x:v>2</x:v>
      </x:c>
      <x:c r="G37" s="37" t="str">
        <x:v>db</x:v>
      </x:c>
      <x:c r="H37" s="37" t="str">
        <x:v>Primer estribo alrededor del doblez dentro de 2 db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37" t="str">
        <x:v>wire_lap_factor</x:v>
      </x:c>
      <x:c r="B38" s="37" t="str">
        <x:v>NORMATIVO</x:v>
      </x:c>
      <x:c r="C38" s="37" t="str">
        <x:v>12.18.1</x:v>
      </x:c>
      <x:c r="D38" s="41" t="n">
        <x:v>126</x:v>
      </x:c>
      <x:c r="E38" s="37" t="str">
        <x:v>VERIFICADO</x:v>
      </x:c>
      <x:c r="F38" s="42" t="n">
        <x:v>1.3</x:v>
      </x:c>
      <x:c r="G38" s="37" t="str">
        <x:v>ld</x:v>
      </x:c>
      <x:c r="H38" s="37" t="str">
        <x:v>Malla soldada corrugada: 1.3 ld</x:v>
      </x:c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37" t="str">
        <x:v>wire_lap_min</x:v>
      </x:c>
      <x:c r="B39" s="37" t="str">
        <x:v>NORMATIVO</x:v>
      </x:c>
      <x:c r="C39" s="37" t="str">
        <x:v>12.18.1</x:v>
      </x:c>
      <x:c r="D39" s="41" t="n">
        <x:v>126</x:v>
      </x:c>
      <x:c r="E39" s="37" t="str">
        <x:v>VERIFICADO</x:v>
      </x:c>
      <x:c r="F39" s="42" t="n">
        <x:v>200</x:v>
      </x:c>
      <x:c r="G39" s="37" t="str">
        <x:v>mm</x:v>
      </x:c>
      <x:c r="H39" s="37" t="str">
        <x:v>Malla soldada corrugada: mínimo 200 mm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37" t="str">
        <x:v>ratio_class_A_min</x:v>
      </x:c>
      <x:c r="B40" s="37" t="str">
        <x:v>NORMATIVO</x:v>
      </x:c>
      <x:c r="C40" s="37" t="str">
        <x:v>Tabla 12.3</x:v>
      </x:c>
      <x:c r="D40" s="41" t="n">
        <x:v>124</x:v>
      </x:c>
      <x:c r="E40" s="37" t="str">
        <x:v>VERIFICADO</x:v>
      </x:c>
      <x:c r="F40" s="42" t="n">
        <x:v>2</x:v>
      </x:c>
      <x:c r="G40" s="37" t="str">
        <x:v>As prov/As req</x:v>
      </x:c>
      <x:c r="H40" s="37" t="str">
        <x:v>Relación mínima para posible Clase A</x:v>
      </x:c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37" t="str">
        <x:v>pct_class_A_max</x:v>
      </x:c>
      <x:c r="B41" s="37" t="str">
        <x:v>NORMATIVO</x:v>
      </x:c>
      <x:c r="C41" s="37" t="str">
        <x:v>Tabla 12.3</x:v>
      </x:c>
      <x:c r="D41" s="41" t="n">
        <x:v>124</x:v>
      </x:c>
      <x:c r="E41" s="37" t="str">
        <x:v>VERIFICADO</x:v>
      </x:c>
      <x:c r="F41" s="42" t="n">
        <x:v>0.5</x:v>
      </x:c>
      <x:c r="G41" s="37" t="str">
        <x:v>fracción</x:v>
      </x:c>
      <x:c r="H41" s="37" t="str">
        <x:v>Hasta 50 % de barras empalmadas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37" t="str">
        <x:v>fy_threshold_compression</x:v>
      </x:c>
      <x:c r="B42" s="37" t="str">
        <x:v>NORMATIVO</x:v>
      </x:c>
      <x:c r="C42" s="37" t="str">
        <x:v>12.16.1</x:v>
      </x:c>
      <x:c r="D42" s="41" t="n">
        <x:v>124</x:v>
      </x:c>
      <x:c r="E42" s="37" t="str">
        <x:v>VERIFICADO</x:v>
      </x:c>
      <x:c r="F42" s="42" t="n">
        <x:v>420</x:v>
      </x:c>
      <x:c r="G42" s="37" t="str">
        <x:v>MPa</x:v>
      </x:c>
      <x:c r="H42" s="37" t="str">
        <x:v>Límite de la primera expresión</x:v>
      </x:c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37" t="str">
        <x:v>fc_threshold_compression</x:v>
      </x:c>
      <x:c r="B43" s="37" t="str">
        <x:v>NORMATIVO</x:v>
      </x:c>
      <x:c r="C43" s="37" t="str">
        <x:v>12.16.1</x:v>
      </x:c>
      <x:c r="D43" s="41" t="n">
        <x:v>125</x:v>
      </x:c>
      <x:c r="E43" s="37" t="str">
        <x:v>VERIFICADO</x:v>
      </x:c>
      <x:c r="F43" s="42" t="n">
        <x:v>21</x:v>
      </x:c>
      <x:c r="G43" s="37" t="str">
        <x:v>MPa</x:v>
      </x:c>
      <x:c r="H43" s="37" t="str">
        <x:v>Límite para el factor 1.3</x:v>
      </x:c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37" t="str">
        <x:v>one</x:v>
      </x:c>
      <x:c r="B44" s="37" t="str">
        <x:v>DERIVADO</x:v>
      </x:c>
      <x:c r="C44" s="37" t="str">
        <x:v>Control de fórmula</x:v>
      </x:c>
      <x:c r="D44" s="41" t="str">
        <x:v>—</x:v>
      </x:c>
      <x:c r="E44" s="37" t="str">
        <x:v>VERIFICADO</x:v>
      </x:c>
      <x:c r="F44" s="42" t="n">
        <x:v>1</x:v>
      </x:c>
      <x:c r="G44" s="37" t="str">
        <x:v>—</x:v>
      </x:c>
      <x:c r="H44" s="37" t="str">
        <x:v>Identidad para no escribir constantes en CALCULOS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37" t="str">
        <x:v>zero</x:v>
      </x:c>
      <x:c r="B45" s="37" t="str">
        <x:v>DERIVADO</x:v>
      </x:c>
      <x:c r="C45" s="37" t="str">
        <x:v>Control de fórmula</x:v>
      </x:c>
      <x:c r="D45" s="41" t="str">
        <x:v>—</x:v>
      </x:c>
      <x:c r="E45" s="37" t="str">
        <x:v>VERIFICADO</x:v>
      </x:c>
      <x:c r="F45" s="42" t="n">
        <x:v>0</x:v>
      </x:c>
      <x:c r="G45" s="37" t="str">
        <x:v>—</x:v>
      </x:c>
      <x:c r="H45" s="37" t="str">
        <x:v>Cero explícito usado solo en comparadores</x:v>
      </x:c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37" t="str">
        <x:v>circle_area_divisor</x:v>
      </x:c>
      <x:c r="B46" s="37" t="str">
        <x:v>DERIVADO</x:v>
      </x:c>
      <x:c r="C46" s="37" t="str">
        <x:v>Geometría</x:v>
      </x:c>
      <x:c r="D46" s="41" t="str">
        <x:v>—</x:v>
      </x:c>
      <x:c r="E46" s="37" t="str">
        <x:v>VERIFICADO</x:v>
      </x:c>
      <x:c r="F46" s="42" t="n">
        <x:v>4</x:v>
      </x:c>
      <x:c r="G46" s="37" t="str">
        <x:v>—</x:v>
      </x:c>
      <x:c r="H46" s="37" t="str">
        <x:v>Divisor geométrico para área circular; no es un valor normativo de E.060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37" t="str">
        <x:v>half_divisor</x:v>
      </x:c>
      <x:c r="B47" s="37" t="str">
        <x:v>DERIVADO</x:v>
      </x:c>
      <x:c r="C47" s="37" t="str">
        <x:v>Geometría</x:v>
      </x:c>
      <x:c r="D47" s="41" t="str">
        <x:v>—</x:v>
      </x:c>
      <x:c r="E47" s="37" t="str">
        <x:v>VERIFICADO</x:v>
      </x:c>
      <x:c r="F47" s="42" t="n">
        <x:v>2</x:v>
      </x:c>
      <x:c r="G47" s="37" t="str">
        <x:v>—</x:v>
      </x:c>
      <x:c r="H47" s="37" t="str">
        <x:v>Divisor geométrico para cb: db/2 y s/2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37" t="str">
        <x:v>validation_tolerance</x:v>
      </x:c>
      <x:c r="B48" s="37" t="str">
        <x:v>ASUMIDO</x:v>
      </x:c>
      <x:c r="C48" s="37" t="str">
        <x:v>Control de prueba</x:v>
      </x:c>
      <x:c r="D48" s="41" t="str">
        <x:v>—</x:v>
      </x:c>
      <x:c r="E48" s="37" t="str">
        <x:v>VERIFICADO</x:v>
      </x:c>
      <x:c r="F48" s="42" t="n">
        <x:v>0.01</x:v>
      </x:c>
      <x:c r="G48" s="37" t="str">
        <x:v>mm</x:v>
      </x:c>
      <x:c r="H48" s="37" t="str">
        <x:v>Tolerancia de comparación de los casos de prueba</x:v>
      </x:c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37" t="str">
        <x:v>psi_te_cap</x:v>
      </x:c>
      <x:c r="B49" s="37" t="str">
        <x:v>NORMATIVO</x:v>
      </x:c>
      <x:c r="C49" s="37" t="str">
        <x:v>Tabla 12.2</x:v>
      </x:c>
      <x:c r="D49" s="41" t="n">
        <x:v>116</x:v>
      </x:c>
      <x:c r="E49" s="37" t="str">
        <x:v>VERIFICADO</x:v>
      </x:c>
      <x:c r="F49" s="42" t="n">
        <x:v>1.7</x:v>
      </x:c>
      <x:c r="G49" s="37" t="str">
        <x:v>factor</x:v>
      </x:c>
      <x:c r="H49" s="37" t="str">
        <x:v>ψt ψe no puede tomarse mayor que 1.7</x:v>
      </x:c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</x:sheetData>
  <x:mergeCells>
    <x:mergeCell ref="A1:H1"/>
    <x:mergeCell ref="A2:H2"/>
  </x:mergeCells>
  <x:pageMargins left="0.7" right="0.7" top="0.75" bottom="0.75" header="0.3" footer="0.3"/>
</x:worksheet>
</file>